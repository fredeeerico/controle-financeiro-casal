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queryTables/queryTable1.bin" ContentType="application/vnd.ms-excel.queryTable"/>
  <Override PartName="/xl/tables/table4.bin" ContentType="application/vnd.ms-excel.table"/>
  <Override PartName="/xl/queryTables/queryTable2.bin" ContentType="application/vnd.ms-excel.query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queryTables/queryTable3.bin" ContentType="application/vnd.ms-excel.queryTable"/>
  <Override PartName="/xl/tables/table12.bin" ContentType="application/vnd.ms-excel.table"/>
  <Override PartName="/xl/queryTables/queryTable4.bin" ContentType="application/vnd.ms-excel.queryTable"/>
  <Override PartName="/xl/printerSettings/printerSettings5.bin" ContentType="application/vnd.openxmlformats-officedocument.spreadsheetml.printerSettings"/>
  <Override PartName="/xl/tables/table13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7/relationships/slicerCache" Target="slicerCaches/slicerCache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[controle-financeiro-casal-dashboard-v2.xlsb]Dashboard_Base!TD_Ranking_Categorias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000" b="1">
                <a:solidFill>
                  <a:srgbClr val="F3F4F6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GASTOS POR CATEGORIA</a:t>
            </a:r>
          </a:p>
        </c:rich>
      </c:tx>
      <c:layout>
        <c:manualLayout>
          <c:xMode val="edge"/>
          <c:yMode val="edge"/>
          <c:x val="0.46876437307326013"/>
          <c:y val="1.66666703120451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A192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A192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A192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A192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8B5C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9CA3AF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8B5C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9CA3AF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8B5C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9CA3AF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Dashboard_Base!$L$7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B5CF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9CA3AF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Dashboard_Base!$K$8:$K$20</c:f>
              <c:strCache>
                <c:ptCount val="12"/>
                <c:pt idx="0">
                  <c:v>Reconhecer Estabelecimento</c:v>
                </c:pt>
                <c:pt idx="1">
                  <c:v>Assinaturas</c:v>
                </c:pt>
                <c:pt idx="2">
                  <c:v>Educação</c:v>
                </c:pt>
                <c:pt idx="3">
                  <c:v>Internet</c:v>
                </c:pt>
                <c:pt idx="4">
                  <c:v>Lazer</c:v>
                </c:pt>
                <c:pt idx="5">
                  <c:v>Impostos</c:v>
                </c:pt>
                <c:pt idx="6">
                  <c:v>Outros</c:v>
                </c:pt>
                <c:pt idx="7">
                  <c:v>Transporte</c:v>
                </c:pt>
                <c:pt idx="8">
                  <c:v>Vestuário</c:v>
                </c:pt>
                <c:pt idx="9">
                  <c:v>Saúde</c:v>
                </c:pt>
                <c:pt idx="10">
                  <c:v>Alimentação</c:v>
                </c:pt>
                <c:pt idx="11">
                  <c:v>Moradia</c:v>
                </c:pt>
              </c:strCache>
            </c:strRef>
          </c:cat>
          <c:val>
            <c:numRef>
              <c:f>Dashboard_Base!$L$8:$L$20</c:f>
              <c:numCache>
                <c:formatCode>"R$"\ #,##0.00</c:formatCode>
                <c:ptCount val="12"/>
                <c:pt idx="0">
                  <c:v>1195</c:v>
                </c:pt>
                <c:pt idx="1">
                  <c:v>1476.940000000001</c:v>
                </c:pt>
                <c:pt idx="2">
                  <c:v>1730</c:v>
                </c:pt>
                <c:pt idx="3">
                  <c:v>4676.4000000000005</c:v>
                </c:pt>
                <c:pt idx="4">
                  <c:v>7365</c:v>
                </c:pt>
                <c:pt idx="5">
                  <c:v>13860</c:v>
                </c:pt>
                <c:pt idx="6">
                  <c:v>14181.799999999996</c:v>
                </c:pt>
                <c:pt idx="7">
                  <c:v>15354</c:v>
                </c:pt>
                <c:pt idx="8">
                  <c:v>24071</c:v>
                </c:pt>
                <c:pt idx="9">
                  <c:v>24838.000000000004</c:v>
                </c:pt>
                <c:pt idx="10">
                  <c:v>38410</c:v>
                </c:pt>
                <c:pt idx="11">
                  <c:v>126357.49999999999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5-42E1-AF66-A6B99A9F6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25800367"/>
        <c:axId val="825796623"/>
      </c:barChart>
      <c:catAx>
        <c:axId val="8258003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825796623"/>
        <c:crosses val="autoZero"/>
        <c:auto val="1"/>
        <c:lblAlgn val="ctr"/>
        <c:lblOffset val="100"/>
        <c:noMultiLvlLbl val="0"/>
      </c:catAx>
      <c:valAx>
        <c:axId val="825796623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82580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[controle-financeiro-casal-dashboard-v2.xlsb]Dashboard_Base!TD_Historico_Evolucao_Responsavel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000" b="1" i="0" u="none" strike="noStrike" kern="1200" spc="0" baseline="0">
                <a:solidFill>
                  <a:srgbClr val="F3F4F6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 sz="1000" b="1" i="0" u="none" strike="noStrike" kern="1200" spc="0" baseline="0">
                <a:solidFill>
                  <a:srgbClr val="F3F4F6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EVOLUÇÃO MENSAL POR RESPONSÁVEL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000" b="1" i="0" u="none" strike="noStrike" kern="1200" spc="0" baseline="0">
              <a:solidFill>
                <a:srgbClr val="F3F4F6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38100" cap="rnd">
            <a:solidFill>
              <a:srgbClr val="0A192F"/>
            </a:solidFill>
            <a:round/>
          </a:ln>
          <a:effectLst/>
        </c:spPr>
        <c:marker>
          <c:symbol val="circle"/>
          <c:size val="5"/>
          <c:spPr>
            <a:solidFill>
              <a:srgbClr val="0A192F"/>
            </a:solidFill>
            <a:ln w="9525">
              <a:solidFill>
                <a:srgbClr val="0A192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rgbClr val="4B5563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1750" cap="rnd">
            <a:solidFill>
              <a:srgbClr val="475569"/>
            </a:solidFill>
            <a:round/>
          </a:ln>
          <a:effectLst/>
        </c:spPr>
        <c:marker>
          <c:symbol val="circle"/>
          <c:size val="5"/>
          <c:spPr>
            <a:solidFill>
              <a:srgbClr val="475569"/>
            </a:solidFill>
            <a:ln w="9525">
              <a:solidFill>
                <a:srgbClr val="475569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38100" cap="rnd">
            <a:solidFill>
              <a:srgbClr val="94A3B8"/>
            </a:solidFill>
            <a:round/>
          </a:ln>
          <a:effectLst/>
        </c:spPr>
        <c:marker>
          <c:symbol val="circle"/>
          <c:size val="5"/>
          <c:spPr>
            <a:solidFill>
              <a:srgbClr val="94A3B8"/>
            </a:solidFill>
            <a:ln w="9525">
              <a:solidFill>
                <a:srgbClr val="94A3B8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38100" cap="rnd">
            <a:solidFill>
              <a:srgbClr val="94A3B8"/>
            </a:solidFill>
            <a:round/>
          </a:ln>
          <a:effectLst/>
        </c:spPr>
        <c:marker>
          <c:symbol val="circle"/>
          <c:size val="5"/>
          <c:spPr>
            <a:solidFill>
              <a:srgbClr val="94A3B8"/>
            </a:solidFill>
            <a:ln w="9525">
              <a:solidFill>
                <a:srgbClr val="94A3B8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38100" cap="rnd">
            <a:solidFill>
              <a:srgbClr val="0A192F"/>
            </a:solidFill>
            <a:round/>
          </a:ln>
          <a:effectLst/>
        </c:spPr>
        <c:marker>
          <c:symbol val="circle"/>
          <c:size val="5"/>
          <c:spPr>
            <a:solidFill>
              <a:srgbClr val="0A192F"/>
            </a:solidFill>
            <a:ln w="9525">
              <a:solidFill>
                <a:srgbClr val="0A192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rgbClr val="4B5563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31750" cap="rnd">
            <a:solidFill>
              <a:srgbClr val="475569"/>
            </a:solidFill>
            <a:round/>
          </a:ln>
          <a:effectLst/>
        </c:spPr>
        <c:marker>
          <c:symbol val="circle"/>
          <c:size val="5"/>
          <c:spPr>
            <a:solidFill>
              <a:srgbClr val="475569"/>
            </a:solidFill>
            <a:ln w="9525">
              <a:solidFill>
                <a:srgbClr val="475569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38100" cap="rnd">
            <a:solidFill>
              <a:srgbClr val="94A3B8"/>
            </a:solidFill>
            <a:round/>
          </a:ln>
          <a:effectLst/>
        </c:spPr>
        <c:marker>
          <c:symbol val="circle"/>
          <c:size val="5"/>
          <c:spPr>
            <a:solidFill>
              <a:srgbClr val="94A3B8"/>
            </a:solidFill>
            <a:ln w="9525">
              <a:solidFill>
                <a:srgbClr val="94A3B8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rgbClr val="0A192F"/>
            </a:solidFill>
            <a:round/>
          </a:ln>
          <a:effectLst/>
        </c:spPr>
        <c:marker>
          <c:symbol val="circle"/>
          <c:size val="5"/>
          <c:spPr>
            <a:solidFill>
              <a:srgbClr val="0A192F"/>
            </a:solidFill>
            <a:ln w="9525">
              <a:solidFill>
                <a:srgbClr val="0A192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31750" cap="rnd">
            <a:solidFill>
              <a:srgbClr val="475569"/>
            </a:solidFill>
            <a:round/>
          </a:ln>
          <a:effectLst/>
        </c:spPr>
        <c:marker>
          <c:symbol val="circle"/>
          <c:size val="5"/>
          <c:spPr>
            <a:solidFill>
              <a:srgbClr val="475569"/>
            </a:solidFill>
            <a:ln w="9525">
              <a:solidFill>
                <a:srgbClr val="475569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38100" cap="rnd">
            <a:solidFill>
              <a:srgbClr val="94A3B8"/>
            </a:solidFill>
            <a:round/>
          </a:ln>
          <a:effectLst/>
        </c:spPr>
        <c:marker>
          <c:symbol val="circle"/>
          <c:size val="5"/>
          <c:spPr>
            <a:solidFill>
              <a:srgbClr val="94A3B8"/>
            </a:solidFill>
            <a:ln w="9525">
              <a:solidFill>
                <a:srgbClr val="94A3B8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rgbClr val="0A192F"/>
            </a:solidFill>
            <a:round/>
          </a:ln>
          <a:effectLst/>
        </c:spPr>
        <c:marker>
          <c:symbol val="circle"/>
          <c:size val="5"/>
          <c:spPr>
            <a:solidFill>
              <a:srgbClr val="0A192F"/>
            </a:solidFill>
            <a:ln w="9525">
              <a:solidFill>
                <a:srgbClr val="0A192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1750" cap="rnd">
            <a:solidFill>
              <a:srgbClr val="475569"/>
            </a:solidFill>
            <a:round/>
          </a:ln>
          <a:effectLst/>
        </c:spPr>
        <c:marker>
          <c:symbol val="circle"/>
          <c:size val="5"/>
          <c:spPr>
            <a:solidFill>
              <a:srgbClr val="475569"/>
            </a:solidFill>
            <a:ln w="9525">
              <a:solidFill>
                <a:srgbClr val="475569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38100" cap="rnd">
            <a:solidFill>
              <a:srgbClr val="94A3B8"/>
            </a:solidFill>
            <a:round/>
          </a:ln>
          <a:effectLst/>
        </c:spPr>
        <c:marker>
          <c:symbol val="circle"/>
          <c:size val="5"/>
          <c:spPr>
            <a:solidFill>
              <a:srgbClr val="94A3B8"/>
            </a:solidFill>
            <a:ln w="9525">
              <a:solidFill>
                <a:srgbClr val="94A3B8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rgbClr val="8B5CF6"/>
            </a:solidFill>
            <a:round/>
          </a:ln>
          <a:effectLst/>
        </c:spPr>
        <c:marker>
          <c:symbol val="circle"/>
          <c:size val="5"/>
          <c:spPr>
            <a:solidFill>
              <a:srgbClr val="8B5CF6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1750" cap="rnd">
            <a:solidFill>
              <a:srgbClr val="22C55E"/>
            </a:solidFill>
            <a:round/>
          </a:ln>
          <a:effectLst/>
        </c:spPr>
        <c:marker>
          <c:symbol val="circle"/>
          <c:size val="5"/>
          <c:spPr>
            <a:solidFill>
              <a:srgbClr val="22C55E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38100" cap="rnd">
            <a:solidFill>
              <a:srgbClr val="FACC15"/>
            </a:solidFill>
            <a:round/>
          </a:ln>
          <a:effectLst/>
        </c:spPr>
        <c:marker>
          <c:symbol val="circle"/>
          <c:size val="5"/>
          <c:spPr>
            <a:solidFill>
              <a:srgbClr val="FACC15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rgbClr val="8B5CF6"/>
            </a:solidFill>
            <a:round/>
          </a:ln>
          <a:effectLst/>
        </c:spPr>
        <c:marker>
          <c:symbol val="circle"/>
          <c:size val="5"/>
          <c:spPr>
            <a:solidFill>
              <a:srgbClr val="8B5CF6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1750" cap="rnd">
            <a:solidFill>
              <a:srgbClr val="22C55E"/>
            </a:solidFill>
            <a:round/>
          </a:ln>
          <a:effectLst/>
        </c:spPr>
        <c:marker>
          <c:symbol val="circle"/>
          <c:size val="5"/>
          <c:spPr>
            <a:solidFill>
              <a:srgbClr val="22C55E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38100" cap="rnd">
            <a:solidFill>
              <a:srgbClr val="FACC15"/>
            </a:solidFill>
            <a:round/>
          </a:ln>
          <a:effectLst/>
        </c:spPr>
        <c:marker>
          <c:symbol val="circle"/>
          <c:size val="5"/>
          <c:spPr>
            <a:solidFill>
              <a:srgbClr val="FACC15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rgbClr val="8B5CF6"/>
            </a:solidFill>
            <a:round/>
          </a:ln>
          <a:effectLst/>
        </c:spPr>
        <c:marker>
          <c:symbol val="circle"/>
          <c:size val="5"/>
          <c:spPr>
            <a:solidFill>
              <a:srgbClr val="8B5CF6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1750" cap="rnd">
            <a:solidFill>
              <a:srgbClr val="22C55E"/>
            </a:solidFill>
            <a:round/>
          </a:ln>
          <a:effectLst/>
        </c:spPr>
        <c:marker>
          <c:symbol val="circle"/>
          <c:size val="5"/>
          <c:spPr>
            <a:solidFill>
              <a:srgbClr val="22C55E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38100" cap="rnd">
            <a:solidFill>
              <a:srgbClr val="FACC15"/>
            </a:solidFill>
            <a:round/>
          </a:ln>
          <a:effectLst/>
        </c:spPr>
        <c:marker>
          <c:symbol val="circle"/>
          <c:size val="5"/>
          <c:spPr>
            <a:solidFill>
              <a:srgbClr val="FACC15"/>
            </a:solidFill>
            <a:ln w="9525">
              <a:solidFill>
                <a:srgbClr val="121A2B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Dashboard_Base!$P$7:$P$8</c:f>
              <c:strCache>
                <c:ptCount val="1"/>
                <c:pt idx="0">
                  <c:v>FRED</c:v>
                </c:pt>
              </c:strCache>
            </c:strRef>
          </c:tx>
          <c:spPr>
            <a:ln w="38100" cap="rnd">
              <a:solidFill>
                <a:srgbClr val="8B5CF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8B5CF6"/>
              </a:solidFill>
              <a:ln w="9525">
                <a:solidFill>
                  <a:srgbClr val="121A2B"/>
                </a:solidFill>
              </a:ln>
              <a:effectLst/>
            </c:spPr>
          </c:marker>
          <c:cat>
            <c:multiLvlStrRef>
              <c:f>Dashboard_Base!$O$9:$O$48</c:f>
              <c:multiLvlStrCache>
                <c:ptCount val="3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mai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set</c:v>
                  </c:pt>
                  <c:pt idx="33">
                    <c:v>out</c:v>
                  </c:pt>
                  <c:pt idx="34">
                    <c:v>nov</c:v>
                  </c:pt>
                  <c:pt idx="35">
                    <c:v>dez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</c:lvl>
              </c:multiLvlStrCache>
            </c:multiLvlStrRef>
          </c:cat>
          <c:val>
            <c:numRef>
              <c:f>Dashboard_Base!$P$9:$P$48</c:f>
              <c:numCache>
                <c:formatCode>"R$"\ #,##0.00</c:formatCode>
                <c:ptCount val="36"/>
                <c:pt idx="0">
                  <c:v>777.99</c:v>
                </c:pt>
                <c:pt idx="1">
                  <c:v>718.99</c:v>
                </c:pt>
                <c:pt idx="2">
                  <c:v>10349.89</c:v>
                </c:pt>
                <c:pt idx="3">
                  <c:v>3010.89</c:v>
                </c:pt>
                <c:pt idx="4">
                  <c:v>2156.89</c:v>
                </c:pt>
                <c:pt idx="5">
                  <c:v>2162.89</c:v>
                </c:pt>
                <c:pt idx="6">
                  <c:v>1123.8899999999999</c:v>
                </c:pt>
                <c:pt idx="7">
                  <c:v>1194.8899999999999</c:v>
                </c:pt>
                <c:pt idx="8">
                  <c:v>1265.8899999999999</c:v>
                </c:pt>
                <c:pt idx="9">
                  <c:v>1191.8899999999999</c:v>
                </c:pt>
                <c:pt idx="10">
                  <c:v>1132.8899999999999</c:v>
                </c:pt>
                <c:pt idx="11">
                  <c:v>1138.8899999999999</c:v>
                </c:pt>
                <c:pt idx="12">
                  <c:v>1198.8899999999999</c:v>
                </c:pt>
                <c:pt idx="13">
                  <c:v>1139.8899999999999</c:v>
                </c:pt>
                <c:pt idx="14">
                  <c:v>820.99</c:v>
                </c:pt>
                <c:pt idx="15">
                  <c:v>1991.99</c:v>
                </c:pt>
                <c:pt idx="16">
                  <c:v>1917.99</c:v>
                </c:pt>
                <c:pt idx="17">
                  <c:v>1923.99</c:v>
                </c:pt>
                <c:pt idx="18">
                  <c:v>764.99</c:v>
                </c:pt>
                <c:pt idx="19">
                  <c:v>835.99</c:v>
                </c:pt>
                <c:pt idx="20">
                  <c:v>906.99</c:v>
                </c:pt>
                <c:pt idx="21">
                  <c:v>832.99</c:v>
                </c:pt>
                <c:pt idx="22">
                  <c:v>708.99</c:v>
                </c:pt>
                <c:pt idx="23">
                  <c:v>779.99</c:v>
                </c:pt>
                <c:pt idx="24">
                  <c:v>949.89</c:v>
                </c:pt>
                <c:pt idx="25">
                  <c:v>890.89</c:v>
                </c:pt>
                <c:pt idx="26">
                  <c:v>4861.8900000000003</c:v>
                </c:pt>
                <c:pt idx="27">
                  <c:v>10432.89</c:v>
                </c:pt>
                <c:pt idx="28">
                  <c:v>2133.89</c:v>
                </c:pt>
                <c:pt idx="29">
                  <c:v>2204.89</c:v>
                </c:pt>
                <c:pt idx="30">
                  <c:v>905.89</c:v>
                </c:pt>
                <c:pt idx="31">
                  <c:v>976.89</c:v>
                </c:pt>
                <c:pt idx="32">
                  <c:v>1047.8899999999999</c:v>
                </c:pt>
                <c:pt idx="33">
                  <c:v>973.89</c:v>
                </c:pt>
                <c:pt idx="34">
                  <c:v>739.99</c:v>
                </c:pt>
                <c:pt idx="35">
                  <c:v>810.99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FE-43D1-B38A-AFD2CB2A2557}"/>
            </c:ext>
          </c:extLst>
        </c:ser>
        <c:ser>
          <c:idx val="1"/>
          <c:order val="1"/>
          <c:tx>
            <c:strRef>
              <c:f>Dashboard_Base!$Q$7:$Q$8</c:f>
              <c:strCache>
                <c:ptCount val="1"/>
                <c:pt idx="0">
                  <c:v>LAURA</c:v>
                </c:pt>
              </c:strCache>
            </c:strRef>
          </c:tx>
          <c:spPr>
            <a:ln w="31750" cap="rnd">
              <a:solidFill>
                <a:srgbClr val="22C55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2C55E"/>
              </a:solidFill>
              <a:ln w="9525">
                <a:solidFill>
                  <a:srgbClr val="121A2B"/>
                </a:solidFill>
              </a:ln>
              <a:effectLst/>
            </c:spPr>
          </c:marker>
          <c:cat>
            <c:multiLvlStrRef>
              <c:f>Dashboard_Base!$O$9:$O$48</c:f>
              <c:multiLvlStrCache>
                <c:ptCount val="3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mai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set</c:v>
                  </c:pt>
                  <c:pt idx="33">
                    <c:v>out</c:v>
                  </c:pt>
                  <c:pt idx="34">
                    <c:v>nov</c:v>
                  </c:pt>
                  <c:pt idx="35">
                    <c:v>dez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</c:lvl>
              </c:multiLvlStrCache>
            </c:multiLvlStrRef>
          </c:cat>
          <c:val>
            <c:numRef>
              <c:f>Dashboard_Base!$Q$9:$Q$48</c:f>
              <c:numCache>
                <c:formatCode>"R$"\ #,##0.00</c:formatCode>
                <c:ptCount val="36"/>
                <c:pt idx="0">
                  <c:v>225</c:v>
                </c:pt>
                <c:pt idx="1">
                  <c:v>413</c:v>
                </c:pt>
                <c:pt idx="2">
                  <c:v>313</c:v>
                </c:pt>
                <c:pt idx="3">
                  <c:v>357</c:v>
                </c:pt>
                <c:pt idx="4">
                  <c:v>709</c:v>
                </c:pt>
                <c:pt idx="5">
                  <c:v>180</c:v>
                </c:pt>
                <c:pt idx="6">
                  <c:v>224</c:v>
                </c:pt>
                <c:pt idx="7">
                  <c:v>430</c:v>
                </c:pt>
                <c:pt idx="8">
                  <c:v>312</c:v>
                </c:pt>
                <c:pt idx="9">
                  <c:v>356</c:v>
                </c:pt>
                <c:pt idx="10">
                  <c:v>546</c:v>
                </c:pt>
                <c:pt idx="11">
                  <c:v>179</c:v>
                </c:pt>
                <c:pt idx="12">
                  <c:v>227</c:v>
                </c:pt>
                <c:pt idx="13">
                  <c:v>416</c:v>
                </c:pt>
                <c:pt idx="14">
                  <c:v>315</c:v>
                </c:pt>
                <c:pt idx="15">
                  <c:v>359</c:v>
                </c:pt>
                <c:pt idx="16">
                  <c:v>712</c:v>
                </c:pt>
                <c:pt idx="17">
                  <c:v>182</c:v>
                </c:pt>
                <c:pt idx="18">
                  <c:v>11533.5</c:v>
                </c:pt>
                <c:pt idx="19">
                  <c:v>760.5</c:v>
                </c:pt>
                <c:pt idx="20">
                  <c:v>641.5</c:v>
                </c:pt>
                <c:pt idx="21">
                  <c:v>685.5</c:v>
                </c:pt>
                <c:pt idx="22">
                  <c:v>876.5</c:v>
                </c:pt>
                <c:pt idx="23">
                  <c:v>508.5</c:v>
                </c:pt>
                <c:pt idx="24">
                  <c:v>556.5</c:v>
                </c:pt>
                <c:pt idx="25">
                  <c:v>746.5</c:v>
                </c:pt>
                <c:pt idx="26">
                  <c:v>317</c:v>
                </c:pt>
                <c:pt idx="27">
                  <c:v>361</c:v>
                </c:pt>
                <c:pt idx="28">
                  <c:v>545</c:v>
                </c:pt>
                <c:pt idx="29">
                  <c:v>184</c:v>
                </c:pt>
                <c:pt idx="30">
                  <c:v>228</c:v>
                </c:pt>
                <c:pt idx="31">
                  <c:v>436</c:v>
                </c:pt>
                <c:pt idx="32">
                  <c:v>3976</c:v>
                </c:pt>
                <c:pt idx="33">
                  <c:v>360</c:v>
                </c:pt>
                <c:pt idx="34">
                  <c:v>552</c:v>
                </c:pt>
                <c:pt idx="35">
                  <c:v>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FE-43D1-B38A-AFD2CB2A2557}"/>
            </c:ext>
          </c:extLst>
        </c:ser>
        <c:ser>
          <c:idx val="2"/>
          <c:order val="2"/>
          <c:tx>
            <c:strRef>
              <c:f>Dashboard_Base!$R$7:$R$8</c:f>
              <c:strCache>
                <c:ptCount val="1"/>
                <c:pt idx="0">
                  <c:v>NOSSO</c:v>
                </c:pt>
              </c:strCache>
            </c:strRef>
          </c:tx>
          <c:spPr>
            <a:ln w="38100" cap="rnd">
              <a:solidFill>
                <a:srgbClr val="FACC1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ACC15"/>
              </a:solidFill>
              <a:ln w="9525">
                <a:solidFill>
                  <a:srgbClr val="121A2B"/>
                </a:solidFill>
              </a:ln>
              <a:effectLst/>
            </c:spPr>
          </c:marker>
          <c:cat>
            <c:multiLvlStrRef>
              <c:f>Dashboard_Base!$O$9:$O$48</c:f>
              <c:multiLvlStrCache>
                <c:ptCount val="3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mai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set</c:v>
                  </c:pt>
                  <c:pt idx="33">
                    <c:v>out</c:v>
                  </c:pt>
                  <c:pt idx="34">
                    <c:v>nov</c:v>
                  </c:pt>
                  <c:pt idx="35">
                    <c:v>dez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</c:lvl>
              </c:multiLvlStrCache>
            </c:multiLvlStrRef>
          </c:cat>
          <c:val>
            <c:numRef>
              <c:f>Dashboard_Base!$R$9:$R$48</c:f>
              <c:numCache>
                <c:formatCode>"R$"\ #,##0.00</c:formatCode>
                <c:ptCount val="36"/>
                <c:pt idx="0">
                  <c:v>3645.8</c:v>
                </c:pt>
                <c:pt idx="1">
                  <c:v>3578.8</c:v>
                </c:pt>
                <c:pt idx="2">
                  <c:v>3755.8</c:v>
                </c:pt>
                <c:pt idx="3">
                  <c:v>7342.8</c:v>
                </c:pt>
                <c:pt idx="4">
                  <c:v>3705.8</c:v>
                </c:pt>
                <c:pt idx="5">
                  <c:v>3541.8</c:v>
                </c:pt>
                <c:pt idx="6">
                  <c:v>3730.8</c:v>
                </c:pt>
                <c:pt idx="7">
                  <c:v>3705.8</c:v>
                </c:pt>
                <c:pt idx="8">
                  <c:v>3900.8</c:v>
                </c:pt>
                <c:pt idx="9">
                  <c:v>3858.8</c:v>
                </c:pt>
                <c:pt idx="10">
                  <c:v>6340.7999999999993</c:v>
                </c:pt>
                <c:pt idx="11">
                  <c:v>9238.7999999999993</c:v>
                </c:pt>
                <c:pt idx="12">
                  <c:v>4010.8</c:v>
                </c:pt>
                <c:pt idx="13">
                  <c:v>4049.8</c:v>
                </c:pt>
                <c:pt idx="14">
                  <c:v>4046.8</c:v>
                </c:pt>
                <c:pt idx="15">
                  <c:v>4213.8</c:v>
                </c:pt>
                <c:pt idx="16">
                  <c:v>3996.8</c:v>
                </c:pt>
                <c:pt idx="17">
                  <c:v>4086.8</c:v>
                </c:pt>
                <c:pt idx="18">
                  <c:v>4021.8</c:v>
                </c:pt>
                <c:pt idx="19">
                  <c:v>3996.8</c:v>
                </c:pt>
                <c:pt idx="20">
                  <c:v>10341.799999999999</c:v>
                </c:pt>
                <c:pt idx="21">
                  <c:v>4149.8</c:v>
                </c:pt>
                <c:pt idx="22">
                  <c:v>3996.8</c:v>
                </c:pt>
                <c:pt idx="23">
                  <c:v>10389.799999999999</c:v>
                </c:pt>
                <c:pt idx="24">
                  <c:v>4351.7</c:v>
                </c:pt>
                <c:pt idx="25">
                  <c:v>4390.7</c:v>
                </c:pt>
                <c:pt idx="26">
                  <c:v>6187.7</c:v>
                </c:pt>
                <c:pt idx="27">
                  <c:v>4554.7</c:v>
                </c:pt>
                <c:pt idx="28">
                  <c:v>4411.7</c:v>
                </c:pt>
                <c:pt idx="29">
                  <c:v>4173.7</c:v>
                </c:pt>
                <c:pt idx="30">
                  <c:v>4362.7</c:v>
                </c:pt>
                <c:pt idx="31">
                  <c:v>4820.3999999999996</c:v>
                </c:pt>
                <c:pt idx="32">
                  <c:v>5015.3999999999996</c:v>
                </c:pt>
                <c:pt idx="33">
                  <c:v>4899.3999999999996</c:v>
                </c:pt>
                <c:pt idx="34">
                  <c:v>7060.4</c:v>
                </c:pt>
                <c:pt idx="35">
                  <c:v>4753.5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FE-43D1-B38A-AFD2CB2A2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5685231"/>
        <c:axId val="1555683567"/>
      </c:lineChart>
      <c:catAx>
        <c:axId val="1555685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8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555683567"/>
        <c:crosses val="autoZero"/>
        <c:auto val="1"/>
        <c:lblAlgn val="ctr"/>
        <c:lblOffset val="100"/>
        <c:tickLblSkip val="3"/>
        <c:noMultiLvlLbl val="0"/>
      </c:catAx>
      <c:valAx>
        <c:axId val="155568356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334155">
                  <a:alpha val="45000"/>
                </a:srgbClr>
              </a:solidFill>
              <a:round/>
            </a:ln>
            <a:effectLst/>
          </c:spPr>
        </c:majorGridlines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8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55568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9CA3AF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[controle-financeiro-casal-dashboard-v2.xlsb]Dashboard_Base!TD_Contas_Cartao_Periodo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000" b="1" i="0" u="none" strike="noStrike" kern="1200" spc="0" baseline="0">
                <a:solidFill>
                  <a:srgbClr val="F3F4F6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 sz="1000" b="1" i="0" u="none" strike="noStrike" kern="1200" spc="0" baseline="0">
                <a:solidFill>
                  <a:srgbClr val="F3F4F6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CONTAS X CARTÃO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000" b="1" i="0" u="none" strike="noStrike" kern="1200" spc="0" baseline="0">
              <a:solidFill>
                <a:srgbClr val="F3F4F6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8B5C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2C55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Dashboard_Base!$AH$7:$AH$8</c:f>
              <c:strCache>
                <c:ptCount val="1"/>
                <c:pt idx="0">
                  <c:v>Cartão</c:v>
                </c:pt>
              </c:strCache>
            </c:strRef>
          </c:tx>
          <c:spPr>
            <a:solidFill>
              <a:srgbClr val="8B5CF6"/>
            </a:solidFill>
            <a:ln>
              <a:noFill/>
            </a:ln>
            <a:effectLst/>
          </c:spPr>
          <c:invertIfNegative val="0"/>
          <c:cat>
            <c:multiLvlStrRef>
              <c:f>Dashboard_Base!$AG$9:$AG$47</c:f>
              <c:multiLvlStrCache>
                <c:ptCount val="3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mai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set</c:v>
                  </c:pt>
                  <c:pt idx="33">
                    <c:v>out</c:v>
                  </c:pt>
                  <c:pt idx="34">
                    <c:v>nov</c:v>
                  </c:pt>
                  <c:pt idx="35">
                    <c:v>dez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</c:lvl>
              </c:multiLvlStrCache>
            </c:multiLvlStrRef>
          </c:cat>
          <c:val>
            <c:numRef>
              <c:f>Dashboard_Base!$AH$9:$AH$47</c:f>
              <c:numCache>
                <c:formatCode>"R$"\ #,##0.00</c:formatCode>
                <c:ptCount val="36"/>
                <c:pt idx="0">
                  <c:v>1459.8899999999999</c:v>
                </c:pt>
                <c:pt idx="1">
                  <c:v>1597.8899999999999</c:v>
                </c:pt>
                <c:pt idx="2">
                  <c:v>11197.79</c:v>
                </c:pt>
                <c:pt idx="3">
                  <c:v>2211.79</c:v>
                </c:pt>
                <c:pt idx="4">
                  <c:v>2338.79</c:v>
                </c:pt>
                <c:pt idx="5">
                  <c:v>1739.79</c:v>
                </c:pt>
                <c:pt idx="6">
                  <c:v>1793.79</c:v>
                </c:pt>
                <c:pt idx="7">
                  <c:v>2139.79</c:v>
                </c:pt>
                <c:pt idx="8">
                  <c:v>2161.79</c:v>
                </c:pt>
                <c:pt idx="9">
                  <c:v>2189.79</c:v>
                </c:pt>
                <c:pt idx="10">
                  <c:v>4670.79</c:v>
                </c:pt>
                <c:pt idx="11">
                  <c:v>7313.79</c:v>
                </c:pt>
                <c:pt idx="12">
                  <c:v>1931.79</c:v>
                </c:pt>
                <c:pt idx="13">
                  <c:v>2176.79</c:v>
                </c:pt>
                <c:pt idx="14">
                  <c:v>1645.8899999999999</c:v>
                </c:pt>
                <c:pt idx="15">
                  <c:v>2009.8899999999999</c:v>
                </c:pt>
                <c:pt idx="16">
                  <c:v>1957.8899999999999</c:v>
                </c:pt>
                <c:pt idx="17">
                  <c:v>1611.8899999999999</c:v>
                </c:pt>
                <c:pt idx="18">
                  <c:v>12719.39</c:v>
                </c:pt>
                <c:pt idx="19">
                  <c:v>2086.39</c:v>
                </c:pt>
                <c:pt idx="20">
                  <c:v>2107.39</c:v>
                </c:pt>
                <c:pt idx="21">
                  <c:v>2135.39</c:v>
                </c:pt>
                <c:pt idx="22">
                  <c:v>1917.3899999999999</c:v>
                </c:pt>
                <c:pt idx="23">
                  <c:v>8119.39</c:v>
                </c:pt>
                <c:pt idx="24">
                  <c:v>1907.2900000000002</c:v>
                </c:pt>
                <c:pt idx="25">
                  <c:v>2153.29</c:v>
                </c:pt>
                <c:pt idx="26">
                  <c:v>1683.7900000000002</c:v>
                </c:pt>
                <c:pt idx="27">
                  <c:v>10207.790000000001</c:v>
                </c:pt>
                <c:pt idx="28">
                  <c:v>1835.7900000000002</c:v>
                </c:pt>
                <c:pt idx="29">
                  <c:v>1395.7900000000002</c:v>
                </c:pt>
                <c:pt idx="30">
                  <c:v>1449.7900000000002</c:v>
                </c:pt>
                <c:pt idx="31">
                  <c:v>2280.4899999999998</c:v>
                </c:pt>
                <c:pt idx="32">
                  <c:v>5960.49</c:v>
                </c:pt>
                <c:pt idx="33">
                  <c:v>2254.4900000000002</c:v>
                </c:pt>
                <c:pt idx="34">
                  <c:v>4351.49</c:v>
                </c:pt>
                <c:pt idx="35">
                  <c:v>1852.5900000000001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F-4524-8FFC-F8D09698753C}"/>
            </c:ext>
          </c:extLst>
        </c:ser>
        <c:ser>
          <c:idx val="1"/>
          <c:order val="1"/>
          <c:tx>
            <c:strRef>
              <c:f>Dashboard_Base!$AI$7:$AI$8</c:f>
              <c:strCache>
                <c:ptCount val="1"/>
                <c:pt idx="0">
                  <c:v>Contas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  <a:effectLst/>
          </c:spPr>
          <c:invertIfNegative val="0"/>
          <c:cat>
            <c:multiLvlStrRef>
              <c:f>Dashboard_Base!$AG$9:$AG$47</c:f>
              <c:multiLvlStrCache>
                <c:ptCount val="36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  <c:pt idx="12">
                    <c:v>jan</c:v>
                  </c:pt>
                  <c:pt idx="13">
                    <c:v>fev</c:v>
                  </c:pt>
                  <c:pt idx="14">
                    <c:v>mar</c:v>
                  </c:pt>
                  <c:pt idx="15">
                    <c:v>abr</c:v>
                  </c:pt>
                  <c:pt idx="16">
                    <c:v>mai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ago</c:v>
                  </c:pt>
                  <c:pt idx="20">
                    <c:v>set</c:v>
                  </c:pt>
                  <c:pt idx="21">
                    <c:v>out</c:v>
                  </c:pt>
                  <c:pt idx="22">
                    <c:v>nov</c:v>
                  </c:pt>
                  <c:pt idx="23">
                    <c:v>dez</c:v>
                  </c:pt>
                  <c:pt idx="24">
                    <c:v>jan</c:v>
                  </c:pt>
                  <c:pt idx="25">
                    <c:v>fev</c:v>
                  </c:pt>
                  <c:pt idx="26">
                    <c:v>mar</c:v>
                  </c:pt>
                  <c:pt idx="27">
                    <c:v>abr</c:v>
                  </c:pt>
                  <c:pt idx="28">
                    <c:v>mai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ago</c:v>
                  </c:pt>
                  <c:pt idx="32">
                    <c:v>set</c:v>
                  </c:pt>
                  <c:pt idx="33">
                    <c:v>out</c:v>
                  </c:pt>
                  <c:pt idx="34">
                    <c:v>nov</c:v>
                  </c:pt>
                  <c:pt idx="35">
                    <c:v>dez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  <c:pt idx="24">
                    <c:v>2025</c:v>
                  </c:pt>
                </c:lvl>
              </c:multiLvlStrCache>
            </c:multiLvlStrRef>
          </c:cat>
          <c:val>
            <c:numRef>
              <c:f>Dashboard_Base!$AI$9:$AI$47</c:f>
              <c:numCache>
                <c:formatCode>"R$"\ #,##0.00</c:formatCode>
                <c:ptCount val="36"/>
                <c:pt idx="0">
                  <c:v>3188.9</c:v>
                </c:pt>
                <c:pt idx="1">
                  <c:v>3112.9</c:v>
                </c:pt>
                <c:pt idx="2">
                  <c:v>3220.9</c:v>
                </c:pt>
                <c:pt idx="3">
                  <c:v>8498.9</c:v>
                </c:pt>
                <c:pt idx="4">
                  <c:v>4232.8999999999996</c:v>
                </c:pt>
                <c:pt idx="5">
                  <c:v>4144.8999999999996</c:v>
                </c:pt>
                <c:pt idx="6">
                  <c:v>3284.9</c:v>
                </c:pt>
                <c:pt idx="7">
                  <c:v>3190.9</c:v>
                </c:pt>
                <c:pt idx="8">
                  <c:v>3316.9</c:v>
                </c:pt>
                <c:pt idx="9">
                  <c:v>3216.9</c:v>
                </c:pt>
                <c:pt idx="10">
                  <c:v>3348.9</c:v>
                </c:pt>
                <c:pt idx="11">
                  <c:v>3242.9</c:v>
                </c:pt>
                <c:pt idx="12">
                  <c:v>3504.9</c:v>
                </c:pt>
                <c:pt idx="13">
                  <c:v>3428.9</c:v>
                </c:pt>
                <c:pt idx="14">
                  <c:v>3536.9</c:v>
                </c:pt>
                <c:pt idx="15">
                  <c:v>4554.8999999999996</c:v>
                </c:pt>
                <c:pt idx="16">
                  <c:v>4668.8999999999996</c:v>
                </c:pt>
                <c:pt idx="17">
                  <c:v>4580.8999999999996</c:v>
                </c:pt>
                <c:pt idx="18">
                  <c:v>3600.9</c:v>
                </c:pt>
                <c:pt idx="19">
                  <c:v>3506.9</c:v>
                </c:pt>
                <c:pt idx="20">
                  <c:v>9782.9</c:v>
                </c:pt>
                <c:pt idx="21">
                  <c:v>3532.9</c:v>
                </c:pt>
                <c:pt idx="22">
                  <c:v>3664.9</c:v>
                </c:pt>
                <c:pt idx="23">
                  <c:v>3558.9</c:v>
                </c:pt>
                <c:pt idx="24">
                  <c:v>3950.8</c:v>
                </c:pt>
                <c:pt idx="25">
                  <c:v>3874.8</c:v>
                </c:pt>
                <c:pt idx="26">
                  <c:v>9682.7999999999993</c:v>
                </c:pt>
                <c:pt idx="27">
                  <c:v>5140.7999999999993</c:v>
                </c:pt>
                <c:pt idx="28">
                  <c:v>5254.8</c:v>
                </c:pt>
                <c:pt idx="29">
                  <c:v>5166.8</c:v>
                </c:pt>
                <c:pt idx="30">
                  <c:v>4046.8</c:v>
                </c:pt>
                <c:pt idx="31">
                  <c:v>3952.8</c:v>
                </c:pt>
                <c:pt idx="32">
                  <c:v>4078.8</c:v>
                </c:pt>
                <c:pt idx="33">
                  <c:v>3978.8</c:v>
                </c:pt>
                <c:pt idx="34">
                  <c:v>4000.9</c:v>
                </c:pt>
                <c:pt idx="35">
                  <c:v>3894.9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9F-4524-8FFC-F8D096987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70303"/>
        <c:axId val="9970719"/>
      </c:barChart>
      <c:catAx>
        <c:axId val="997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5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9970719"/>
        <c:crosses val="autoZero"/>
        <c:auto val="1"/>
        <c:lblAlgn val="ctr"/>
        <c:lblOffset val="100"/>
        <c:tickLblSkip val="3"/>
        <c:noMultiLvlLbl val="0"/>
      </c:catAx>
      <c:valAx>
        <c:axId val="997071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334155"/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997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800" b="0" i="0" u="none" strike="noStrike" kern="1200" baseline="0">
              <a:solidFill>
                <a:srgbClr val="9CA3AF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1" i="0" u="none" strike="noStrike" kern="1200" spc="0" baseline="0">
                <a:solidFill>
                  <a:srgbClr val="F3F4F6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000" b="1" i="0" u="none" strike="noStrike" kern="1200" spc="0" baseline="0">
                <a:solidFill>
                  <a:srgbClr val="F3F4F6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EVOLUÇÃO DO SALDO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1" i="0" u="none" strike="noStrike" kern="1200" spc="0" baseline="0">
              <a:solidFill>
                <a:srgbClr val="F3F4F6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Dashboard_Base!$AO$6</c:f>
              <c:strCache>
                <c:ptCount val="1"/>
                <c:pt idx="0">
                  <c:v>Saldo Mensal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ACC15"/>
              </a:solidFill>
              <a:ln w="9525">
                <a:solidFill>
                  <a:srgbClr val="121A2B"/>
                </a:solidFill>
              </a:ln>
              <a:effectLst/>
            </c:spPr>
          </c:marker>
          <c:cat>
            <c:numRef>
              <c:f>[0]!Periodo_Saldo</c:f>
              <c:numCache>
                <c:formatCode>mmm/yyyy</c:formatCode>
                <c:ptCount val="36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  <c:pt idx="12">
                  <c:v>45292</c:v>
                </c:pt>
                <c:pt idx="13">
                  <c:v>45323</c:v>
                </c:pt>
                <c:pt idx="14">
                  <c:v>45352</c:v>
                </c:pt>
                <c:pt idx="15">
                  <c:v>45383</c:v>
                </c:pt>
                <c:pt idx="16">
                  <c:v>45413</c:v>
                </c:pt>
                <c:pt idx="17">
                  <c:v>45444</c:v>
                </c:pt>
                <c:pt idx="18">
                  <c:v>45474</c:v>
                </c:pt>
                <c:pt idx="19">
                  <c:v>45505</c:v>
                </c:pt>
                <c:pt idx="20">
                  <c:v>45536</c:v>
                </c:pt>
                <c:pt idx="21">
                  <c:v>45566</c:v>
                </c:pt>
                <c:pt idx="22">
                  <c:v>45597</c:v>
                </c:pt>
                <c:pt idx="23">
                  <c:v>45627</c:v>
                </c:pt>
                <c:pt idx="24">
                  <c:v>45658</c:v>
                </c:pt>
                <c:pt idx="25">
                  <c:v>45689</c:v>
                </c:pt>
                <c:pt idx="26">
                  <c:v>45717</c:v>
                </c:pt>
                <c:pt idx="27">
                  <c:v>45748</c:v>
                </c:pt>
                <c:pt idx="28">
                  <c:v>45778</c:v>
                </c:pt>
                <c:pt idx="29">
                  <c:v>45809</c:v>
                </c:pt>
                <c:pt idx="30">
                  <c:v>45839</c:v>
                </c:pt>
                <c:pt idx="31">
                  <c:v>45870</c:v>
                </c:pt>
                <c:pt idx="32">
                  <c:v>45901</c:v>
                </c:pt>
                <c:pt idx="33">
                  <c:v>45931</c:v>
                </c:pt>
                <c:pt idx="34">
                  <c:v>45962</c:v>
                </c:pt>
                <c:pt idx="35">
                  <c:v>45992</c:v>
                </c:pt>
              </c:numCache>
            </c:numRef>
          </c:cat>
          <c:val>
            <c:numRef>
              <c:f>[0]!Valores_Saldo</c:f>
              <c:numCache>
                <c:formatCode>"R$"\ #,##0.00</c:formatCode>
                <c:ptCount val="36"/>
                <c:pt idx="0">
                  <c:v>6466.2099999999991</c:v>
                </c:pt>
                <c:pt idx="1">
                  <c:v>6404.2099999999991</c:v>
                </c:pt>
                <c:pt idx="2">
                  <c:v>-3303.6900000000023</c:v>
                </c:pt>
                <c:pt idx="3">
                  <c:v>404.30999999999767</c:v>
                </c:pt>
                <c:pt idx="4">
                  <c:v>4543.3100000000013</c:v>
                </c:pt>
                <c:pt idx="5">
                  <c:v>5230.3100000000013</c:v>
                </c:pt>
                <c:pt idx="6">
                  <c:v>6036.3100000000013</c:v>
                </c:pt>
                <c:pt idx="7">
                  <c:v>8184.3100000000013</c:v>
                </c:pt>
                <c:pt idx="8">
                  <c:v>5636.3100000000013</c:v>
                </c:pt>
                <c:pt idx="9">
                  <c:v>5708.3100000000013</c:v>
                </c:pt>
                <c:pt idx="10">
                  <c:v>3095.3100000000013</c:v>
                </c:pt>
                <c:pt idx="11">
                  <c:v>4058.3099999999977</c:v>
                </c:pt>
                <c:pt idx="12">
                  <c:v>6563.3100000000013</c:v>
                </c:pt>
                <c:pt idx="13">
                  <c:v>6394.3100000000013</c:v>
                </c:pt>
                <c:pt idx="14">
                  <c:v>6817.2099999999991</c:v>
                </c:pt>
                <c:pt idx="15">
                  <c:v>5435.2099999999991</c:v>
                </c:pt>
                <c:pt idx="16">
                  <c:v>5373.2099999999991</c:v>
                </c:pt>
                <c:pt idx="17">
                  <c:v>7907.2099999999991</c:v>
                </c:pt>
                <c:pt idx="18">
                  <c:v>-4320.2900000000009</c:v>
                </c:pt>
                <c:pt idx="19">
                  <c:v>6406.7099999999991</c:v>
                </c:pt>
                <c:pt idx="20">
                  <c:v>109.70999999999913</c:v>
                </c:pt>
                <c:pt idx="21">
                  <c:v>6331.7099999999991</c:v>
                </c:pt>
                <c:pt idx="22">
                  <c:v>6417.7099999999991</c:v>
                </c:pt>
                <c:pt idx="23">
                  <c:v>3121.7099999999991</c:v>
                </c:pt>
                <c:pt idx="24">
                  <c:v>7441.91</c:v>
                </c:pt>
                <c:pt idx="25">
                  <c:v>7271.91</c:v>
                </c:pt>
                <c:pt idx="26">
                  <c:v>1933.4099999999999</c:v>
                </c:pt>
                <c:pt idx="27">
                  <c:v>-2048.59</c:v>
                </c:pt>
                <c:pt idx="28">
                  <c:v>6209.41</c:v>
                </c:pt>
                <c:pt idx="29">
                  <c:v>6737.41</c:v>
                </c:pt>
                <c:pt idx="30">
                  <c:v>12003.41</c:v>
                </c:pt>
                <c:pt idx="31">
                  <c:v>7066.7099999999991</c:v>
                </c:pt>
                <c:pt idx="32">
                  <c:v>3260.7099999999991</c:v>
                </c:pt>
                <c:pt idx="33">
                  <c:v>7066.7099999999991</c:v>
                </c:pt>
                <c:pt idx="34">
                  <c:v>4947.6100000000006</c:v>
                </c:pt>
                <c:pt idx="35">
                  <c:v>12152.510000000002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3A-43B9-A4A1-D6E688016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7211872"/>
        <c:axId val="617212288"/>
      </c:lineChart>
      <c:catAx>
        <c:axId val="6172118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noFill/>
          <a:ln w="12700" cap="flat" cmpd="sng" algn="ctr">
            <a:solidFill>
              <a:srgbClr val="94A3B8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 algn="ctr">
              <a:defRPr lang="en-US" sz="8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617212288"/>
        <c:crosses val="autoZero"/>
        <c:auto val="0"/>
        <c:lblAlgn val="ctr"/>
        <c:lblOffset val="100"/>
        <c:tickLblSkip val="3"/>
        <c:noMultiLvlLbl val="0"/>
      </c:catAx>
      <c:valAx>
        <c:axId val="6172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334155"/>
              </a:solidFill>
              <a:round/>
            </a:ln>
            <a:effectLst/>
          </c:spPr>
        </c:majorGridlines>
        <c:numFmt formatCode="&quot;R$&quot;#,##0.00_);[Red]\(&quot;R$&quot;#,##0.0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800" b="0" i="0" u="none" strike="noStrike" kern="1200" baseline="0">
                <a:solidFill>
                  <a:srgbClr val="9CA3AF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61721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116108</xdr:colOff>
      <xdr:row>28</xdr:row>
      <xdr:rowOff>195103</xdr:rowOff>
    </xdr:from>
    <xdr:to>
      <xdr:col>17</xdr:col>
      <xdr:colOff>268941</xdr:colOff>
      <xdr:row>42</xdr:row>
      <xdr:rowOff>150968</xdr:rowOff>
    </xdr:to>
    <xdr:sp macro="" textlink="">
      <xdr:nvSpPr>
        <xdr:cNvPr id="96" name="Retângulo: Cantos Arredondados 95">
          <a:extLst>
            <a:ext uri="{FF2B5EF4-FFF2-40B4-BE49-F238E27FC236}">
              <a16:creationId xmlns:a16="http://schemas.microsoft.com/office/drawing/2014/main" id="{63DA97D4-BCF5-48D9-93B3-F597AEC68050}"/>
            </a:ext>
          </a:extLst>
        </xdr:cNvPr>
        <xdr:cNvSpPr/>
      </xdr:nvSpPr>
      <xdr:spPr>
        <a:xfrm>
          <a:off x="7780932" y="7097927"/>
          <a:ext cx="6966009" cy="3407276"/>
        </a:xfrm>
        <a:prstGeom prst="roundRect">
          <a:avLst>
            <a:gd name="adj" fmla="val 4015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116108</xdr:colOff>
      <xdr:row>14</xdr:row>
      <xdr:rowOff>187966</xdr:rowOff>
    </xdr:from>
    <xdr:to>
      <xdr:col>13</xdr:col>
      <xdr:colOff>132816</xdr:colOff>
      <xdr:row>28</xdr:row>
      <xdr:rowOff>145025</xdr:rowOff>
    </xdr:to>
    <xdr:sp macro="" textlink="">
      <xdr:nvSpPr>
        <xdr:cNvPr id="94" name="Retângulo: Cantos Arredondados 93">
          <a:extLst>
            <a:ext uri="{FF2B5EF4-FFF2-40B4-BE49-F238E27FC236}">
              <a16:creationId xmlns:a16="http://schemas.microsoft.com/office/drawing/2014/main" id="{3C6AEF59-5A5F-4CA4-BFED-2E2AA6C60185}"/>
            </a:ext>
          </a:extLst>
        </xdr:cNvPr>
        <xdr:cNvSpPr/>
      </xdr:nvSpPr>
      <xdr:spPr>
        <a:xfrm>
          <a:off x="7742677" y="3682656"/>
          <a:ext cx="3406294" cy="3451748"/>
        </a:xfrm>
        <a:prstGeom prst="roundRect">
          <a:avLst>
            <a:gd name="adj" fmla="val 3267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761999</xdr:colOff>
      <xdr:row>3</xdr:row>
      <xdr:rowOff>114300</xdr:rowOff>
    </xdr:from>
    <xdr:to>
      <xdr:col>17</xdr:col>
      <xdr:colOff>209549</xdr:colOff>
      <xdr:row>6</xdr:row>
      <xdr:rowOff>206602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CA703B9-DC12-4D46-9E34-74B97D4A59B0}"/>
            </a:ext>
          </a:extLst>
        </xdr:cNvPr>
        <xdr:cNvSpPr/>
      </xdr:nvSpPr>
      <xdr:spPr>
        <a:xfrm>
          <a:off x="761999" y="857250"/>
          <a:ext cx="13858875" cy="835252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57150</xdr:colOff>
      <xdr:row>3</xdr:row>
      <xdr:rowOff>202634</xdr:rowOff>
    </xdr:from>
    <xdr:to>
      <xdr:col>17</xdr:col>
      <xdr:colOff>114300</xdr:colOff>
      <xdr:row>6</xdr:row>
      <xdr:rowOff>118269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íodo 2">
              <a:extLst>
                <a:ext uri="{FF2B5EF4-FFF2-40B4-BE49-F238E27FC236}">
                  <a16:creationId xmlns:a16="http://schemas.microsoft.com/office/drawing/2014/main" id="{BA6F2CA6-420C-41CD-BD4C-7BAF993211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ío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62650" y="937420"/>
              <a:ext cx="8493579" cy="650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823863</xdr:colOff>
      <xdr:row>3</xdr:row>
      <xdr:rowOff>195831</xdr:rowOff>
    </xdr:from>
    <xdr:to>
      <xdr:col>6</xdr:col>
      <xdr:colOff>775606</xdr:colOff>
      <xdr:row>6</xdr:row>
      <xdr:rowOff>125073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iltro Escuro 1">
              <a:extLst>
                <a:ext uri="{FF2B5EF4-FFF2-40B4-BE49-F238E27FC236}">
                  <a16:creationId xmlns:a16="http://schemas.microsoft.com/office/drawing/2014/main" id="{8BF37334-25C8-4DAA-97E1-E5C55F0F29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 Escu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506" y="930617"/>
              <a:ext cx="4169957" cy="6640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787213</xdr:colOff>
      <xdr:row>14</xdr:row>
      <xdr:rowOff>187966</xdr:rowOff>
    </xdr:from>
    <xdr:to>
      <xdr:col>9</xdr:col>
      <xdr:colOff>57150</xdr:colOff>
      <xdr:row>28</xdr:row>
      <xdr:rowOff>145025</xdr:rowOff>
    </xdr:to>
    <xdr:sp macro="" textlink="">
      <xdr:nvSpPr>
        <xdr:cNvPr id="89" name="Retângulo: Cantos Arredondados 88">
          <a:extLst>
            <a:ext uri="{FF2B5EF4-FFF2-40B4-BE49-F238E27FC236}">
              <a16:creationId xmlns:a16="http://schemas.microsoft.com/office/drawing/2014/main" id="{6D2E8CBB-5C11-4268-ACD1-361823DAA939}"/>
            </a:ext>
          </a:extLst>
        </xdr:cNvPr>
        <xdr:cNvSpPr/>
      </xdr:nvSpPr>
      <xdr:spPr>
        <a:xfrm>
          <a:off x="787213" y="3675581"/>
          <a:ext cx="6919245" cy="3444675"/>
        </a:xfrm>
        <a:prstGeom prst="roundRect">
          <a:avLst>
            <a:gd name="adj" fmla="val 3267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227399</xdr:colOff>
      <xdr:row>15</xdr:row>
      <xdr:rowOff>9956</xdr:rowOff>
    </xdr:from>
    <xdr:to>
      <xdr:col>8</xdr:col>
      <xdr:colOff>616962</xdr:colOff>
      <xdr:row>28</xdr:row>
      <xdr:rowOff>72664</xdr:rowOff>
    </xdr:to>
    <xdr:graphicFrame macro="">
      <xdr:nvGraphicFramePr>
        <xdr:cNvPr id="90" name="Gráfico 89">
          <a:extLst>
            <a:ext uri="{FF2B5EF4-FFF2-40B4-BE49-F238E27FC236}">
              <a16:creationId xmlns:a16="http://schemas.microsoft.com/office/drawing/2014/main" id="{B7BEDB88-CF48-42D9-9597-DF7142223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787213</xdr:colOff>
      <xdr:row>28</xdr:row>
      <xdr:rowOff>195103</xdr:rowOff>
    </xdr:from>
    <xdr:to>
      <xdr:col>9</xdr:col>
      <xdr:colOff>51945</xdr:colOff>
      <xdr:row>42</xdr:row>
      <xdr:rowOff>150968</xdr:rowOff>
    </xdr:to>
    <xdr:sp macro="" textlink="">
      <xdr:nvSpPr>
        <xdr:cNvPr id="87" name="Retângulo: Cantos Arredondados 86">
          <a:extLst>
            <a:ext uri="{FF2B5EF4-FFF2-40B4-BE49-F238E27FC236}">
              <a16:creationId xmlns:a16="http://schemas.microsoft.com/office/drawing/2014/main" id="{51BC262E-0EFF-4867-B9E7-F7A03B2E84AF}"/>
            </a:ext>
          </a:extLst>
        </xdr:cNvPr>
        <xdr:cNvSpPr/>
      </xdr:nvSpPr>
      <xdr:spPr>
        <a:xfrm>
          <a:off x="787213" y="7184482"/>
          <a:ext cx="6891301" cy="3450555"/>
        </a:xfrm>
        <a:prstGeom prst="roundRect">
          <a:avLst>
            <a:gd name="adj" fmla="val 4015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75759</xdr:colOff>
      <xdr:row>29</xdr:row>
      <xdr:rowOff>50618</xdr:rowOff>
    </xdr:from>
    <xdr:to>
      <xdr:col>8</xdr:col>
      <xdr:colOff>763399</xdr:colOff>
      <xdr:row>42</xdr:row>
      <xdr:rowOff>40440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CC971B8E-6A7D-47BB-B074-D6CD620E3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787213</xdr:colOff>
      <xdr:row>7</xdr:row>
      <xdr:rowOff>64491</xdr:rowOff>
    </xdr:from>
    <xdr:to>
      <xdr:col>4</xdr:col>
      <xdr:colOff>804229</xdr:colOff>
      <xdr:row>10</xdr:row>
      <xdr:rowOff>154915</xdr:rowOff>
    </xdr:to>
    <xdr:sp macro="" textlink="">
      <xdr:nvSpPr>
        <xdr:cNvPr id="82" name="Retângulo: Cantos Arredondados 81">
          <a:extLst>
            <a:ext uri="{FF2B5EF4-FFF2-40B4-BE49-F238E27FC236}">
              <a16:creationId xmlns:a16="http://schemas.microsoft.com/office/drawing/2014/main" id="{D38B73A1-77E6-478C-80D6-1187BECAAA97}"/>
            </a:ext>
          </a:extLst>
        </xdr:cNvPr>
        <xdr:cNvSpPr/>
      </xdr:nvSpPr>
      <xdr:spPr>
        <a:xfrm>
          <a:off x="787213" y="1808299"/>
          <a:ext cx="3416708" cy="837770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816350</xdr:colOff>
      <xdr:row>7</xdr:row>
      <xdr:rowOff>131729</xdr:rowOff>
    </xdr:from>
    <xdr:to>
      <xdr:col>4</xdr:col>
      <xdr:colOff>772178</xdr:colOff>
      <xdr:row>8</xdr:row>
      <xdr:rowOff>82890</xdr:rowOff>
    </xdr:to>
    <xdr:sp macro="" textlink="Dashboard_Base!$AV$7">
      <xdr:nvSpPr>
        <xdr:cNvPr id="83" name="CaixaDeTexto 82">
          <a:extLst>
            <a:ext uri="{FF2B5EF4-FFF2-40B4-BE49-F238E27FC236}">
              <a16:creationId xmlns:a16="http://schemas.microsoft.com/office/drawing/2014/main" id="{E10ECC4B-432B-49A0-891D-80FCD4D32C51}"/>
            </a:ext>
          </a:extLst>
        </xdr:cNvPr>
        <xdr:cNvSpPr txBox="1"/>
      </xdr:nvSpPr>
      <xdr:spPr>
        <a:xfrm>
          <a:off x="816350" y="1846229"/>
          <a:ext cx="3330399" cy="196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F32F0C9-14A4-4477-9929-968FA07EE0FA}" type="TxLink">
            <a:rPr lang="en-US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CONTAS FRED</a:t>
          </a:fld>
          <a:endParaRPr lang="en-US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</xdr:col>
      <xdr:colOff>125021</xdr:colOff>
      <xdr:row>7</xdr:row>
      <xdr:rowOff>47625</xdr:rowOff>
    </xdr:from>
    <xdr:to>
      <xdr:col>2</xdr:col>
      <xdr:colOff>662937</xdr:colOff>
      <xdr:row>7</xdr:row>
      <xdr:rowOff>93560</xdr:rowOff>
    </xdr:to>
    <xdr:sp macro="" textlink="">
      <xdr:nvSpPr>
        <xdr:cNvPr id="85" name="Retângulo: Cantos Arredondados 84">
          <a:extLst>
            <a:ext uri="{FF2B5EF4-FFF2-40B4-BE49-F238E27FC236}">
              <a16:creationId xmlns:a16="http://schemas.microsoft.com/office/drawing/2014/main" id="{A1EA2A1D-DE6D-4066-8BA7-21ED744614DB}"/>
            </a:ext>
          </a:extLst>
        </xdr:cNvPr>
        <xdr:cNvSpPr/>
      </xdr:nvSpPr>
      <xdr:spPr>
        <a:xfrm>
          <a:off x="968664" y="1762125"/>
          <a:ext cx="1381559" cy="45935"/>
        </a:xfrm>
        <a:prstGeom prst="roundRect">
          <a:avLst/>
        </a:prstGeom>
        <a:solidFill>
          <a:srgbClr val="8B5C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206950</xdr:colOff>
      <xdr:row>8</xdr:row>
      <xdr:rowOff>88621</xdr:rowOff>
    </xdr:from>
    <xdr:to>
      <xdr:col>1</xdr:col>
      <xdr:colOff>478330</xdr:colOff>
      <xdr:row>9</xdr:row>
      <xdr:rowOff>130785</xdr:rowOff>
    </xdr:to>
    <xdr:sp macro="" textlink="">
      <xdr:nvSpPr>
        <xdr:cNvPr id="86" name="Elipse 85">
          <a:extLst>
            <a:ext uri="{FF2B5EF4-FFF2-40B4-BE49-F238E27FC236}">
              <a16:creationId xmlns:a16="http://schemas.microsoft.com/office/drawing/2014/main" id="{D2B5EEC6-0C22-4C2B-ACBD-56E1C20E423E}"/>
            </a:ext>
          </a:extLst>
        </xdr:cNvPr>
        <xdr:cNvSpPr/>
      </xdr:nvSpPr>
      <xdr:spPr>
        <a:xfrm>
          <a:off x="1050593" y="2048050"/>
          <a:ext cx="271380" cy="287092"/>
        </a:xfrm>
        <a:prstGeom prst="ellipse">
          <a:avLst/>
        </a:prstGeom>
        <a:solidFill>
          <a:srgbClr val="24153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C4B5FD"/>
              </a:solidFill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5</xdr:col>
      <xdr:colOff>27365</xdr:colOff>
      <xdr:row>7</xdr:row>
      <xdr:rowOff>71170</xdr:rowOff>
    </xdr:from>
    <xdr:to>
      <xdr:col>9</xdr:col>
      <xdr:colOff>44382</xdr:colOff>
      <xdr:row>10</xdr:row>
      <xdr:rowOff>161594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D029BA8F-0A54-4143-9140-F341E1C4F910}"/>
            </a:ext>
          </a:extLst>
        </xdr:cNvPr>
        <xdr:cNvSpPr/>
      </xdr:nvSpPr>
      <xdr:spPr>
        <a:xfrm>
          <a:off x="4276980" y="1814978"/>
          <a:ext cx="3416710" cy="837770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56502</xdr:colOff>
      <xdr:row>7</xdr:row>
      <xdr:rowOff>138408</xdr:rowOff>
    </xdr:from>
    <xdr:to>
      <xdr:col>9</xdr:col>
      <xdr:colOff>12331</xdr:colOff>
      <xdr:row>8</xdr:row>
      <xdr:rowOff>89569</xdr:rowOff>
    </xdr:to>
    <xdr:sp macro="" textlink="Dashboard_Base!$AV$6">
      <xdr:nvSpPr>
        <xdr:cNvPr id="78" name="CaixaDeTexto 77">
          <a:extLst>
            <a:ext uri="{FF2B5EF4-FFF2-40B4-BE49-F238E27FC236}">
              <a16:creationId xmlns:a16="http://schemas.microsoft.com/office/drawing/2014/main" id="{72F7F2F6-307B-4F8E-9EF8-8552CBF56B28}"/>
            </a:ext>
          </a:extLst>
        </xdr:cNvPr>
        <xdr:cNvSpPr txBox="1"/>
      </xdr:nvSpPr>
      <xdr:spPr>
        <a:xfrm>
          <a:off x="4274716" y="1852908"/>
          <a:ext cx="3330401" cy="1960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8460F1E-55BF-4B6E-B714-87E0065D667B}" type="TxLink">
            <a:rPr lang="en-US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CONTAS LAURA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5</xdr:col>
      <xdr:colOff>208816</xdr:colOff>
      <xdr:row>7</xdr:row>
      <xdr:rowOff>54304</xdr:rowOff>
    </xdr:from>
    <xdr:to>
      <xdr:col>6</xdr:col>
      <xdr:colOff>746732</xdr:colOff>
      <xdr:row>7</xdr:row>
      <xdr:rowOff>100239</xdr:rowOff>
    </xdr:to>
    <xdr:sp macro="" textlink="">
      <xdr:nvSpPr>
        <xdr:cNvPr id="80" name="Retângulo: Cantos Arredondados 79">
          <a:extLst>
            <a:ext uri="{FF2B5EF4-FFF2-40B4-BE49-F238E27FC236}">
              <a16:creationId xmlns:a16="http://schemas.microsoft.com/office/drawing/2014/main" id="{A84385C4-E42D-41EF-AC46-B20231999D83}"/>
            </a:ext>
          </a:extLst>
        </xdr:cNvPr>
        <xdr:cNvSpPr/>
      </xdr:nvSpPr>
      <xdr:spPr>
        <a:xfrm>
          <a:off x="4427030" y="1768804"/>
          <a:ext cx="1381559" cy="45935"/>
        </a:xfrm>
        <a:prstGeom prst="round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290745</xdr:colOff>
      <xdr:row>8</xdr:row>
      <xdr:rowOff>95300</xdr:rowOff>
    </xdr:from>
    <xdr:to>
      <xdr:col>5</xdr:col>
      <xdr:colOff>562126</xdr:colOff>
      <xdr:row>9</xdr:row>
      <xdr:rowOff>137464</xdr:rowOff>
    </xdr:to>
    <xdr:sp macro="" textlink="">
      <xdr:nvSpPr>
        <xdr:cNvPr id="81" name="Elipse 80">
          <a:extLst>
            <a:ext uri="{FF2B5EF4-FFF2-40B4-BE49-F238E27FC236}">
              <a16:creationId xmlns:a16="http://schemas.microsoft.com/office/drawing/2014/main" id="{A8B3715A-7016-4CD4-9594-6D2EE37A4ACF}"/>
            </a:ext>
          </a:extLst>
        </xdr:cNvPr>
        <xdr:cNvSpPr/>
      </xdr:nvSpPr>
      <xdr:spPr>
        <a:xfrm>
          <a:off x="4508959" y="2054729"/>
          <a:ext cx="271381" cy="287092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L</a:t>
          </a:r>
        </a:p>
      </xdr:txBody>
    </xdr:sp>
    <xdr:clientData/>
  </xdr:twoCellAnchor>
  <xdr:twoCellAnchor>
    <xdr:from>
      <xdr:col>9</xdr:col>
      <xdr:colOff>116108</xdr:colOff>
      <xdr:row>7</xdr:row>
      <xdr:rowOff>79077</xdr:rowOff>
    </xdr:from>
    <xdr:to>
      <xdr:col>13</xdr:col>
      <xdr:colOff>133124</xdr:colOff>
      <xdr:row>10</xdr:row>
      <xdr:rowOff>169519</xdr:rowOff>
    </xdr:to>
    <xdr:sp macro="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759AA28D-DDD7-4CF2-8995-00D63B2D07F6}"/>
            </a:ext>
          </a:extLst>
        </xdr:cNvPr>
        <xdr:cNvSpPr/>
      </xdr:nvSpPr>
      <xdr:spPr>
        <a:xfrm>
          <a:off x="7765416" y="1822885"/>
          <a:ext cx="3416708" cy="837788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145245</xdr:colOff>
      <xdr:row>7</xdr:row>
      <xdr:rowOff>146316</xdr:rowOff>
    </xdr:from>
    <xdr:to>
      <xdr:col>13</xdr:col>
      <xdr:colOff>101073</xdr:colOff>
      <xdr:row>8</xdr:row>
      <xdr:rowOff>97482</xdr:rowOff>
    </xdr:to>
    <xdr:sp macro="" textlink="Dashboard_Base!$AV$5">
      <xdr:nvSpPr>
        <xdr:cNvPr id="73" name="CaixaDeTexto 72">
          <a:extLst>
            <a:ext uri="{FF2B5EF4-FFF2-40B4-BE49-F238E27FC236}">
              <a16:creationId xmlns:a16="http://schemas.microsoft.com/office/drawing/2014/main" id="{B365B4C3-7825-43E2-997A-D5F24FF1D58A}"/>
            </a:ext>
          </a:extLst>
        </xdr:cNvPr>
        <xdr:cNvSpPr txBox="1"/>
      </xdr:nvSpPr>
      <xdr:spPr>
        <a:xfrm>
          <a:off x="7738031" y="1860816"/>
          <a:ext cx="3330399" cy="196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F5270B3-B1BF-462C-9F5D-8909BE443C0D}" type="TxLink">
            <a:rPr lang="en-US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CONTAS NOSSO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297559</xdr:colOff>
      <xdr:row>7</xdr:row>
      <xdr:rowOff>64342</xdr:rowOff>
    </xdr:from>
    <xdr:to>
      <xdr:col>10</xdr:col>
      <xdr:colOff>835475</xdr:colOff>
      <xdr:row>7</xdr:row>
      <xdr:rowOff>108146</xdr:rowOff>
    </xdr:to>
    <xdr:sp macro="" textlink="">
      <xdr:nvSpPr>
        <xdr:cNvPr id="75" name="Retângulo: Cantos Arredondados 74">
          <a:extLst>
            <a:ext uri="{FF2B5EF4-FFF2-40B4-BE49-F238E27FC236}">
              <a16:creationId xmlns:a16="http://schemas.microsoft.com/office/drawing/2014/main" id="{FF15F8AB-2BE0-4CA0-A191-D658B0D63F49}"/>
            </a:ext>
          </a:extLst>
        </xdr:cNvPr>
        <xdr:cNvSpPr/>
      </xdr:nvSpPr>
      <xdr:spPr>
        <a:xfrm>
          <a:off x="7890345" y="1778842"/>
          <a:ext cx="1381559" cy="43804"/>
        </a:xfrm>
        <a:prstGeom prst="roundRect">
          <a:avLst/>
        </a:prstGeom>
        <a:solidFill>
          <a:srgbClr val="FACC1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379488</xdr:colOff>
      <xdr:row>8</xdr:row>
      <xdr:rowOff>103212</xdr:rowOff>
    </xdr:from>
    <xdr:to>
      <xdr:col>9</xdr:col>
      <xdr:colOff>650868</xdr:colOff>
      <xdr:row>9</xdr:row>
      <xdr:rowOff>145383</xdr:rowOff>
    </xdr:to>
    <xdr:sp macro="" textlink="">
      <xdr:nvSpPr>
        <xdr:cNvPr id="76" name="Elipse 75">
          <a:extLst>
            <a:ext uri="{FF2B5EF4-FFF2-40B4-BE49-F238E27FC236}">
              <a16:creationId xmlns:a16="http://schemas.microsoft.com/office/drawing/2014/main" id="{79FCB543-27E3-45A9-A2A6-34A6B6D591AE}"/>
            </a:ext>
          </a:extLst>
        </xdr:cNvPr>
        <xdr:cNvSpPr/>
      </xdr:nvSpPr>
      <xdr:spPr>
        <a:xfrm>
          <a:off x="7972274" y="2062641"/>
          <a:ext cx="271380" cy="287099"/>
        </a:xfrm>
        <a:prstGeom prst="ellipse">
          <a:avLst/>
        </a:prstGeom>
        <a:solidFill>
          <a:srgbClr val="3B2F0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FDE68A"/>
              </a:solidFill>
              <a:latin typeface="Segoe UI" panose="020B0502040204020203" pitchFamily="34" charset="0"/>
              <a:cs typeface="Segoe UI" panose="020B0502040204020203" pitchFamily="34" charset="0"/>
            </a:rPr>
            <a:t>N</a:t>
          </a:r>
        </a:p>
      </xdr:txBody>
    </xdr:sp>
    <xdr:clientData/>
  </xdr:twoCellAnchor>
  <xdr:twoCellAnchor>
    <xdr:from>
      <xdr:col>0</xdr:col>
      <xdr:colOff>787213</xdr:colOff>
      <xdr:row>11</xdr:row>
      <xdr:rowOff>13332</xdr:rowOff>
    </xdr:from>
    <xdr:to>
      <xdr:col>4</xdr:col>
      <xdr:colOff>801299</xdr:colOff>
      <xdr:row>14</xdr:row>
      <xdr:rowOff>106168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48089EF2-D242-446F-B5CE-2EB2760BA0BF}"/>
            </a:ext>
          </a:extLst>
        </xdr:cNvPr>
        <xdr:cNvSpPr/>
      </xdr:nvSpPr>
      <xdr:spPr>
        <a:xfrm>
          <a:off x="787213" y="2707546"/>
          <a:ext cx="3388657" cy="827622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816350</xdr:colOff>
      <xdr:row>11</xdr:row>
      <xdr:rowOff>80767</xdr:rowOff>
    </xdr:from>
    <xdr:to>
      <xdr:col>4</xdr:col>
      <xdr:colOff>772162</xdr:colOff>
      <xdr:row>12</xdr:row>
      <xdr:rowOff>32502</xdr:rowOff>
    </xdr:to>
    <xdr:sp macro="" textlink="Dashboard_Base!$AV$10">
      <xdr:nvSpPr>
        <xdr:cNvPr id="68" name="CaixaDeTexto 67">
          <a:extLst>
            <a:ext uri="{FF2B5EF4-FFF2-40B4-BE49-F238E27FC236}">
              <a16:creationId xmlns:a16="http://schemas.microsoft.com/office/drawing/2014/main" id="{D9D84CE6-DD2E-451A-846A-07C6DA512C24}"/>
            </a:ext>
          </a:extLst>
        </xdr:cNvPr>
        <xdr:cNvSpPr txBox="1"/>
      </xdr:nvSpPr>
      <xdr:spPr>
        <a:xfrm>
          <a:off x="816350" y="2774981"/>
          <a:ext cx="3330383" cy="1966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E1CBD47-A164-40BD-9766-E7B2015FD7A3}" type="TxLink">
            <a:rPr lang="en-US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CARTOES FRED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0</xdr:col>
      <xdr:colOff>812363</xdr:colOff>
      <xdr:row>12</xdr:row>
      <xdr:rowOff>33282</xdr:rowOff>
    </xdr:from>
    <xdr:to>
      <xdr:col>4</xdr:col>
      <xdr:colOff>776148</xdr:colOff>
      <xdr:row>13</xdr:row>
      <xdr:rowOff>184118</xdr:rowOff>
    </xdr:to>
    <xdr:sp macro="" textlink="Dashboard_Base!$AW$10">
      <xdr:nvSpPr>
        <xdr:cNvPr id="69" name="CaixaDeTexto 68">
          <a:extLst>
            <a:ext uri="{FF2B5EF4-FFF2-40B4-BE49-F238E27FC236}">
              <a16:creationId xmlns:a16="http://schemas.microsoft.com/office/drawing/2014/main" id="{B1DF9B6D-6296-4B46-B384-8A09D703216A}"/>
            </a:ext>
          </a:extLst>
        </xdr:cNvPr>
        <xdr:cNvSpPr txBox="1"/>
      </xdr:nvSpPr>
      <xdr:spPr>
        <a:xfrm>
          <a:off x="812363" y="2972425"/>
          <a:ext cx="3338356" cy="395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B2BFC6C-F856-4792-AEE6-56F20610EDF4}" type="TxLink">
            <a:rPr lang="en-US" sz="18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R$ 63.417,34</a:t>
          </a:fld>
          <a:endParaRPr lang="pt-BR" sz="18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</xdr:col>
      <xdr:colOff>125020</xdr:colOff>
      <xdr:row>10</xdr:row>
      <xdr:rowOff>240462</xdr:rowOff>
    </xdr:from>
    <xdr:to>
      <xdr:col>2</xdr:col>
      <xdr:colOff>662929</xdr:colOff>
      <xdr:row>11</xdr:row>
      <xdr:rowOff>42486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0545B21A-9CB4-448A-A371-DCC1671FD613}"/>
            </a:ext>
          </a:extLst>
        </xdr:cNvPr>
        <xdr:cNvSpPr/>
      </xdr:nvSpPr>
      <xdr:spPr>
        <a:xfrm>
          <a:off x="968663" y="2689748"/>
          <a:ext cx="1381552" cy="46952"/>
        </a:xfrm>
        <a:prstGeom prst="roundRect">
          <a:avLst/>
        </a:prstGeom>
        <a:solidFill>
          <a:srgbClr val="8B5C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206948</xdr:colOff>
      <xdr:row>12</xdr:row>
      <xdr:rowOff>38248</xdr:rowOff>
    </xdr:from>
    <xdr:to>
      <xdr:col>1</xdr:col>
      <xdr:colOff>478327</xdr:colOff>
      <xdr:row>13</xdr:row>
      <xdr:rowOff>81251</xdr:rowOff>
    </xdr:to>
    <xdr:sp macro="" textlink="">
      <xdr:nvSpPr>
        <xdr:cNvPr id="71" name="Elipse 70">
          <a:extLst>
            <a:ext uri="{FF2B5EF4-FFF2-40B4-BE49-F238E27FC236}">
              <a16:creationId xmlns:a16="http://schemas.microsoft.com/office/drawing/2014/main" id="{45BE839D-87FA-41A7-ADD0-02B6D9CD0905}"/>
            </a:ext>
          </a:extLst>
        </xdr:cNvPr>
        <xdr:cNvSpPr/>
      </xdr:nvSpPr>
      <xdr:spPr>
        <a:xfrm>
          <a:off x="1050591" y="2977391"/>
          <a:ext cx="271379" cy="287931"/>
        </a:xfrm>
        <a:prstGeom prst="ellipse">
          <a:avLst/>
        </a:prstGeom>
        <a:solidFill>
          <a:srgbClr val="24153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C4B5FD"/>
              </a:solidFill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5</xdr:col>
      <xdr:colOff>25899</xdr:colOff>
      <xdr:row>11</xdr:row>
      <xdr:rowOff>13332</xdr:rowOff>
    </xdr:from>
    <xdr:to>
      <xdr:col>9</xdr:col>
      <xdr:colOff>42916</xdr:colOff>
      <xdr:row>14</xdr:row>
      <xdr:rowOff>106168</xdr:rowOff>
    </xdr:to>
    <xdr:sp macro="" textlink="">
      <xdr:nvSpPr>
        <xdr:cNvPr id="62" name="Retângulo: Cantos Arredondados 61">
          <a:extLst>
            <a:ext uri="{FF2B5EF4-FFF2-40B4-BE49-F238E27FC236}">
              <a16:creationId xmlns:a16="http://schemas.microsoft.com/office/drawing/2014/main" id="{5DC5CE95-C1B1-412B-A22A-F9B9AF6D07F9}"/>
            </a:ext>
          </a:extLst>
        </xdr:cNvPr>
        <xdr:cNvSpPr/>
      </xdr:nvSpPr>
      <xdr:spPr>
        <a:xfrm>
          <a:off x="4244113" y="2707546"/>
          <a:ext cx="3391589" cy="827622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55036</xdr:colOff>
      <xdr:row>11</xdr:row>
      <xdr:rowOff>80767</xdr:rowOff>
    </xdr:from>
    <xdr:to>
      <xdr:col>9</xdr:col>
      <xdr:colOff>10865</xdr:colOff>
      <xdr:row>12</xdr:row>
      <xdr:rowOff>32502</xdr:rowOff>
    </xdr:to>
    <xdr:sp macro="" textlink="Dashboard_Base!$AV$9">
      <xdr:nvSpPr>
        <xdr:cNvPr id="63" name="CaixaDeTexto 62">
          <a:extLst>
            <a:ext uri="{FF2B5EF4-FFF2-40B4-BE49-F238E27FC236}">
              <a16:creationId xmlns:a16="http://schemas.microsoft.com/office/drawing/2014/main" id="{AB6CE5D3-CD01-4493-9FE6-F4025AB11D50}"/>
            </a:ext>
          </a:extLst>
        </xdr:cNvPr>
        <xdr:cNvSpPr txBox="1"/>
      </xdr:nvSpPr>
      <xdr:spPr>
        <a:xfrm>
          <a:off x="4273250" y="2774981"/>
          <a:ext cx="3330401" cy="1966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FC1DFFD-089C-4B17-8D5E-CB80C94A454D}" type="TxLink">
            <a:rPr lang="en-US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CARTOES LAURA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5</xdr:col>
      <xdr:colOff>51049</xdr:colOff>
      <xdr:row>12</xdr:row>
      <xdr:rowOff>33282</xdr:rowOff>
    </xdr:from>
    <xdr:to>
      <xdr:col>9</xdr:col>
      <xdr:colOff>14851</xdr:colOff>
      <xdr:row>13</xdr:row>
      <xdr:rowOff>184118</xdr:rowOff>
    </xdr:to>
    <xdr:sp macro="" textlink="Dashboard_Base!$AW$9">
      <xdr:nvSpPr>
        <xdr:cNvPr id="64" name="CaixaDeTexto 63">
          <a:extLst>
            <a:ext uri="{FF2B5EF4-FFF2-40B4-BE49-F238E27FC236}">
              <a16:creationId xmlns:a16="http://schemas.microsoft.com/office/drawing/2014/main" id="{73591C80-BA43-481D-AE4A-450E471570BA}"/>
            </a:ext>
          </a:extLst>
        </xdr:cNvPr>
        <xdr:cNvSpPr txBox="1"/>
      </xdr:nvSpPr>
      <xdr:spPr>
        <a:xfrm>
          <a:off x="4269263" y="2972425"/>
          <a:ext cx="3338374" cy="395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3CE2D200-C208-4CC9-862F-71ECB57DF427}" type="TxLink">
            <a:rPr lang="en-US" sz="18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R$ 55.150,90</a:t>
          </a:fld>
          <a:endParaRPr lang="pt-BR" sz="18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5</xdr:col>
      <xdr:colOff>207350</xdr:colOff>
      <xdr:row>10</xdr:row>
      <xdr:rowOff>240462</xdr:rowOff>
    </xdr:from>
    <xdr:to>
      <xdr:col>6</xdr:col>
      <xdr:colOff>745266</xdr:colOff>
      <xdr:row>11</xdr:row>
      <xdr:rowOff>42486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5F6798B2-4199-41FF-B502-D12AFA61F9E3}"/>
            </a:ext>
          </a:extLst>
        </xdr:cNvPr>
        <xdr:cNvSpPr/>
      </xdr:nvSpPr>
      <xdr:spPr>
        <a:xfrm>
          <a:off x="4425564" y="2689748"/>
          <a:ext cx="1381559" cy="46952"/>
        </a:xfrm>
        <a:prstGeom prst="roundRect">
          <a:avLst/>
        </a:prstGeom>
        <a:solidFill>
          <a:srgbClr val="22C55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289279</xdr:colOff>
      <xdr:row>12</xdr:row>
      <xdr:rowOff>38248</xdr:rowOff>
    </xdr:from>
    <xdr:to>
      <xdr:col>5</xdr:col>
      <xdr:colOff>560660</xdr:colOff>
      <xdr:row>13</xdr:row>
      <xdr:rowOff>81251</xdr:rowOff>
    </xdr:to>
    <xdr:sp macro="" textlink="">
      <xdr:nvSpPr>
        <xdr:cNvPr id="66" name="Elipse 65">
          <a:extLst>
            <a:ext uri="{FF2B5EF4-FFF2-40B4-BE49-F238E27FC236}">
              <a16:creationId xmlns:a16="http://schemas.microsoft.com/office/drawing/2014/main" id="{4B86929B-922E-4423-BF6D-7653AE0FEB17}"/>
            </a:ext>
          </a:extLst>
        </xdr:cNvPr>
        <xdr:cNvSpPr/>
      </xdr:nvSpPr>
      <xdr:spPr>
        <a:xfrm>
          <a:off x="4507493" y="2977391"/>
          <a:ext cx="271381" cy="287931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L</a:t>
          </a:r>
        </a:p>
      </xdr:txBody>
    </xdr:sp>
    <xdr:clientData/>
  </xdr:twoCellAnchor>
  <xdr:twoCellAnchor>
    <xdr:from>
      <xdr:col>9</xdr:col>
      <xdr:colOff>116108</xdr:colOff>
      <xdr:row>11</xdr:row>
      <xdr:rowOff>7895</xdr:rowOff>
    </xdr:from>
    <xdr:to>
      <xdr:col>13</xdr:col>
      <xdr:colOff>133124</xdr:colOff>
      <xdr:row>14</xdr:row>
      <xdr:rowOff>100793</xdr:rowOff>
    </xdr:to>
    <xdr:sp macro="" textlink="">
      <xdr:nvSpPr>
        <xdr:cNvPr id="57" name="Retângulo: Cantos Arredondados 56">
          <a:extLst>
            <a:ext uri="{FF2B5EF4-FFF2-40B4-BE49-F238E27FC236}">
              <a16:creationId xmlns:a16="http://schemas.microsoft.com/office/drawing/2014/main" id="{A8E18E15-9733-4C8D-8280-559F4C0F5935}"/>
            </a:ext>
          </a:extLst>
        </xdr:cNvPr>
        <xdr:cNvSpPr/>
      </xdr:nvSpPr>
      <xdr:spPr>
        <a:xfrm>
          <a:off x="7765416" y="2748164"/>
          <a:ext cx="3416708" cy="840244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145245</xdr:colOff>
      <xdr:row>11</xdr:row>
      <xdr:rowOff>75334</xdr:rowOff>
    </xdr:from>
    <xdr:to>
      <xdr:col>13</xdr:col>
      <xdr:colOff>101073</xdr:colOff>
      <xdr:row>12</xdr:row>
      <xdr:rowOff>27083</xdr:rowOff>
    </xdr:to>
    <xdr:sp macro="" textlink="Dashboard_Base!$AV$8">
      <xdr:nvSpPr>
        <xdr:cNvPr id="58" name="CaixaDeTexto 57">
          <a:extLst>
            <a:ext uri="{FF2B5EF4-FFF2-40B4-BE49-F238E27FC236}">
              <a16:creationId xmlns:a16="http://schemas.microsoft.com/office/drawing/2014/main" id="{9E8E2DF0-E11C-4842-93A1-0D3E4F2E6DEE}"/>
            </a:ext>
          </a:extLst>
        </xdr:cNvPr>
        <xdr:cNvSpPr txBox="1"/>
      </xdr:nvSpPr>
      <xdr:spPr>
        <a:xfrm>
          <a:off x="7738031" y="2769548"/>
          <a:ext cx="3330399" cy="1966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F2D4411-BAF4-4AD8-BDB9-F20AE8C62F07}" type="TxLink">
            <a:rPr lang="en-US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CARTOES NOSSO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141258</xdr:colOff>
      <xdr:row>12</xdr:row>
      <xdr:rowOff>27865</xdr:rowOff>
    </xdr:from>
    <xdr:to>
      <xdr:col>13</xdr:col>
      <xdr:colOff>105059</xdr:colOff>
      <xdr:row>13</xdr:row>
      <xdr:rowOff>178731</xdr:rowOff>
    </xdr:to>
    <xdr:sp macro="" textlink="Dashboard_Base!$AW$8">
      <xdr:nvSpPr>
        <xdr:cNvPr id="59" name="CaixaDeTexto 58">
          <a:extLst>
            <a:ext uri="{FF2B5EF4-FFF2-40B4-BE49-F238E27FC236}">
              <a16:creationId xmlns:a16="http://schemas.microsoft.com/office/drawing/2014/main" id="{11CA191B-1DB9-4508-8AB9-20C5409CF6D7}"/>
            </a:ext>
          </a:extLst>
        </xdr:cNvPr>
        <xdr:cNvSpPr txBox="1"/>
      </xdr:nvSpPr>
      <xdr:spPr>
        <a:xfrm>
          <a:off x="7734044" y="2967008"/>
          <a:ext cx="3338372" cy="3957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872D6BC-0D46-42E6-B6FD-30344818747B}" type="TxLink">
            <a:rPr lang="en-US" sz="18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R$ 50.489,80</a:t>
          </a:fld>
          <a:endParaRPr lang="pt-BR" sz="18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379488</xdr:colOff>
      <xdr:row>12</xdr:row>
      <xdr:rowOff>32831</xdr:rowOff>
    </xdr:from>
    <xdr:to>
      <xdr:col>9</xdr:col>
      <xdr:colOff>650868</xdr:colOff>
      <xdr:row>13</xdr:row>
      <xdr:rowOff>75856</xdr:rowOff>
    </xdr:to>
    <xdr:sp macro="" textlink="">
      <xdr:nvSpPr>
        <xdr:cNvPr id="60" name="Elipse 59">
          <a:extLst>
            <a:ext uri="{FF2B5EF4-FFF2-40B4-BE49-F238E27FC236}">
              <a16:creationId xmlns:a16="http://schemas.microsoft.com/office/drawing/2014/main" id="{823E917B-B5D5-48EB-87BC-EB955F332368}"/>
            </a:ext>
          </a:extLst>
        </xdr:cNvPr>
        <xdr:cNvSpPr/>
      </xdr:nvSpPr>
      <xdr:spPr>
        <a:xfrm>
          <a:off x="7972274" y="2971974"/>
          <a:ext cx="271380" cy="287953"/>
        </a:xfrm>
        <a:prstGeom prst="ellipse">
          <a:avLst/>
        </a:prstGeom>
        <a:solidFill>
          <a:srgbClr val="3B2F0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FDE68A"/>
              </a:solidFill>
              <a:latin typeface="Segoe UI" panose="020B0502040204020203" pitchFamily="34" charset="0"/>
              <a:cs typeface="Segoe UI" panose="020B0502040204020203" pitchFamily="34" charset="0"/>
            </a:rPr>
            <a:t>N</a:t>
          </a:r>
        </a:p>
      </xdr:txBody>
    </xdr:sp>
    <xdr:clientData/>
  </xdr:twoCellAnchor>
  <xdr:twoCellAnchor>
    <xdr:from>
      <xdr:col>9</xdr:col>
      <xdr:colOff>314209</xdr:colOff>
      <xdr:row>10</xdr:row>
      <xdr:rowOff>240462</xdr:rowOff>
    </xdr:from>
    <xdr:to>
      <xdr:col>11</xdr:col>
      <xdr:colOff>8483</xdr:colOff>
      <xdr:row>11</xdr:row>
      <xdr:rowOff>39468</xdr:rowOff>
    </xdr:to>
    <xdr:sp macro="" textlink="">
      <xdr:nvSpPr>
        <xdr:cNvPr id="61" name="Retângulo: Cantos Arredondados 60">
          <a:extLst>
            <a:ext uri="{FF2B5EF4-FFF2-40B4-BE49-F238E27FC236}">
              <a16:creationId xmlns:a16="http://schemas.microsoft.com/office/drawing/2014/main" id="{E6ECFDEA-ED91-4006-A083-8C50328DE1DD}"/>
            </a:ext>
          </a:extLst>
        </xdr:cNvPr>
        <xdr:cNvSpPr/>
      </xdr:nvSpPr>
      <xdr:spPr>
        <a:xfrm>
          <a:off x="7906995" y="2689748"/>
          <a:ext cx="1381559" cy="43934"/>
        </a:xfrm>
        <a:prstGeom prst="roundRect">
          <a:avLst/>
        </a:prstGeom>
        <a:solidFill>
          <a:srgbClr val="FACC1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9525</xdr:colOff>
      <xdr:row>4</xdr:row>
      <xdr:rowOff>136639</xdr:rowOff>
    </xdr:from>
    <xdr:to>
      <xdr:col>1</xdr:col>
      <xdr:colOff>714375</xdr:colOff>
      <xdr:row>5</xdr:row>
      <xdr:rowOff>184264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BA7127A4-4D82-4078-945B-9D72161D5DCE}"/>
            </a:ext>
          </a:extLst>
        </xdr:cNvPr>
        <xdr:cNvSpPr txBox="1"/>
      </xdr:nvSpPr>
      <xdr:spPr>
        <a:xfrm>
          <a:off x="857250" y="1127239"/>
          <a:ext cx="7048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9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t>FILTROS</a:t>
          </a:r>
        </a:p>
      </xdr:txBody>
    </xdr:sp>
    <xdr:clientData/>
  </xdr:twoCellAnchor>
  <xdr:twoCellAnchor>
    <xdr:from>
      <xdr:col>13</xdr:col>
      <xdr:colOff>224745</xdr:colOff>
      <xdr:row>7</xdr:row>
      <xdr:rowOff>79076</xdr:rowOff>
    </xdr:from>
    <xdr:to>
      <xdr:col>17</xdr:col>
      <xdr:colOff>208307</xdr:colOff>
      <xdr:row>28</xdr:row>
      <xdr:rowOff>134469</xdr:rowOff>
    </xdr:to>
    <xdr:sp macro="" textlink="">
      <xdr:nvSpPr>
        <xdr:cNvPr id="110" name="Retângulo: Cantos Arredondados 109">
          <a:extLst>
            <a:ext uri="{FF2B5EF4-FFF2-40B4-BE49-F238E27FC236}">
              <a16:creationId xmlns:a16="http://schemas.microsoft.com/office/drawing/2014/main" id="{2F87B823-4A64-4E46-8A8F-2CA66AE27F7F}"/>
            </a:ext>
          </a:extLst>
        </xdr:cNvPr>
        <xdr:cNvSpPr/>
      </xdr:nvSpPr>
      <xdr:spPr>
        <a:xfrm>
          <a:off x="11296157" y="1804782"/>
          <a:ext cx="3390150" cy="5232511"/>
        </a:xfrm>
        <a:prstGeom prst="roundRect">
          <a:avLst>
            <a:gd name="adj" fmla="val 5098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406119</xdr:colOff>
      <xdr:row>7</xdr:row>
      <xdr:rowOff>64342</xdr:rowOff>
    </xdr:from>
    <xdr:to>
      <xdr:col>15</xdr:col>
      <xdr:colOff>87900</xdr:colOff>
      <xdr:row>7</xdr:row>
      <xdr:rowOff>103536</xdr:rowOff>
    </xdr:to>
    <xdr:sp macro="" textlink="">
      <xdr:nvSpPr>
        <xdr:cNvPr id="113" name="Retângulo: Cantos Arredondados 112">
          <a:extLst>
            <a:ext uri="{FF2B5EF4-FFF2-40B4-BE49-F238E27FC236}">
              <a16:creationId xmlns:a16="http://schemas.microsoft.com/office/drawing/2014/main" id="{19057A10-214A-4640-A1F1-4A11F40C8389}"/>
            </a:ext>
          </a:extLst>
        </xdr:cNvPr>
        <xdr:cNvSpPr/>
      </xdr:nvSpPr>
      <xdr:spPr>
        <a:xfrm>
          <a:off x="11373476" y="1778842"/>
          <a:ext cx="1369067" cy="39194"/>
        </a:xfrm>
        <a:prstGeom prst="roundRect">
          <a:avLst/>
        </a:prstGeom>
        <a:solidFill>
          <a:srgbClr val="10B98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584161</xdr:colOff>
      <xdr:row>9</xdr:row>
      <xdr:rowOff>66346</xdr:rowOff>
    </xdr:from>
    <xdr:to>
      <xdr:col>16</xdr:col>
      <xdr:colOff>693718</xdr:colOff>
      <xdr:row>12</xdr:row>
      <xdr:rowOff>157299</xdr:rowOff>
    </xdr:to>
    <xdr:sp macro="" textlink="">
      <xdr:nvSpPr>
        <xdr:cNvPr id="115" name="Retângulo: Cantos Arredondados 114">
          <a:extLst>
            <a:ext uri="{FF2B5EF4-FFF2-40B4-BE49-F238E27FC236}">
              <a16:creationId xmlns:a16="http://schemas.microsoft.com/office/drawing/2014/main" id="{6EDC515E-29C6-43BF-B928-CC27020AA176}"/>
            </a:ext>
          </a:extLst>
        </xdr:cNvPr>
        <xdr:cNvSpPr/>
      </xdr:nvSpPr>
      <xdr:spPr>
        <a:xfrm>
          <a:off x="11615843" y="2248437"/>
          <a:ext cx="2655330" cy="818317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100"/>
        </a:p>
      </xdr:txBody>
    </xdr:sp>
    <xdr:clientData/>
  </xdr:twoCellAnchor>
  <xdr:twoCellAnchor>
    <xdr:from>
      <xdr:col>14</xdr:col>
      <xdr:colOff>192373</xdr:colOff>
      <xdr:row>9</xdr:row>
      <xdr:rowOff>201492</xdr:rowOff>
    </xdr:from>
    <xdr:to>
      <xdr:col>16</xdr:col>
      <xdr:colOff>646198</xdr:colOff>
      <xdr:row>10</xdr:row>
      <xdr:rowOff>154891</xdr:rowOff>
    </xdr:to>
    <xdr:sp macro="" textlink="Dashboard_Base!$AV$11">
      <xdr:nvSpPr>
        <xdr:cNvPr id="122" name="CaixaDeTexto 121">
          <a:extLst>
            <a:ext uri="{FF2B5EF4-FFF2-40B4-BE49-F238E27FC236}">
              <a16:creationId xmlns:a16="http://schemas.microsoft.com/office/drawing/2014/main" id="{051F7440-7D2C-4029-BBA8-041C5CC66AC7}"/>
            </a:ext>
          </a:extLst>
        </xdr:cNvPr>
        <xdr:cNvSpPr txBox="1"/>
      </xdr:nvSpPr>
      <xdr:spPr>
        <a:xfrm>
          <a:off x="12072646" y="2383583"/>
          <a:ext cx="2151007" cy="195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D41876D-8AAA-43B7-85E3-43B90A4093CB}" type="TxLink">
            <a:rPr lang="en-US" sz="1200" b="0" i="0" u="none" strike="noStrike">
              <a:solidFill>
                <a:srgbClr val="4B5563"/>
              </a:solidFill>
              <a:latin typeface="Segoe UI"/>
              <a:ea typeface="+mn-ea"/>
              <a:cs typeface="Segoe UI"/>
            </a:rPr>
            <a:pPr marL="0" indent="0" algn="ctr"/>
            <a:t>TOTAL NOSSO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412843</xdr:colOff>
      <xdr:row>10</xdr:row>
      <xdr:rowOff>116349</xdr:rowOff>
    </xdr:from>
    <xdr:to>
      <xdr:col>16</xdr:col>
      <xdr:colOff>425728</xdr:colOff>
      <xdr:row>12</xdr:row>
      <xdr:rowOff>22155</xdr:rowOff>
    </xdr:to>
    <xdr:sp macro="" textlink="Dashboard_Base!$AW$11">
      <xdr:nvSpPr>
        <xdr:cNvPr id="136" name="CaixaDeTexto 135">
          <a:extLst>
            <a:ext uri="{FF2B5EF4-FFF2-40B4-BE49-F238E27FC236}">
              <a16:creationId xmlns:a16="http://schemas.microsoft.com/office/drawing/2014/main" id="{42B98E1E-0744-40BE-AED5-9ED6A745D728}"/>
            </a:ext>
          </a:extLst>
        </xdr:cNvPr>
        <xdr:cNvSpPr txBox="1"/>
      </xdr:nvSpPr>
      <xdr:spPr>
        <a:xfrm>
          <a:off x="12276395" y="2612556"/>
          <a:ext cx="1707678" cy="4050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265AEC1-ACBF-4178-AFCC-ECCA602CF9FE}" type="TxLink">
            <a:rPr lang="en-US" sz="14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R$ 176.630,20</a:t>
          </a:fld>
          <a:endParaRPr lang="pt-BR" sz="14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13</xdr:col>
      <xdr:colOff>631680</xdr:colOff>
      <xdr:row>10</xdr:row>
      <xdr:rowOff>18230</xdr:rowOff>
    </xdr:from>
    <xdr:to>
      <xdr:col>14</xdr:col>
      <xdr:colOff>232100</xdr:colOff>
      <xdr:row>11</xdr:row>
      <xdr:rowOff>216863</xdr:rowOff>
    </xdr:to>
    <xdr:sp macro="" textlink="">
      <xdr:nvSpPr>
        <xdr:cNvPr id="137" name="Elipse 136">
          <a:extLst>
            <a:ext uri="{FF2B5EF4-FFF2-40B4-BE49-F238E27FC236}">
              <a16:creationId xmlns:a16="http://schemas.microsoft.com/office/drawing/2014/main" id="{A31AED69-AF90-4580-9E3A-A8C061053450}"/>
            </a:ext>
          </a:extLst>
        </xdr:cNvPr>
        <xdr:cNvSpPr/>
      </xdr:nvSpPr>
      <xdr:spPr>
        <a:xfrm>
          <a:off x="11663362" y="2442775"/>
          <a:ext cx="449011" cy="441088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N</a:t>
          </a:r>
        </a:p>
      </xdr:txBody>
    </xdr:sp>
    <xdr:clientData/>
  </xdr:twoCellAnchor>
  <xdr:twoCellAnchor>
    <xdr:from>
      <xdr:col>13</xdr:col>
      <xdr:colOff>584161</xdr:colOff>
      <xdr:row>12</xdr:row>
      <xdr:rowOff>68920</xdr:rowOff>
    </xdr:from>
    <xdr:to>
      <xdr:col>16</xdr:col>
      <xdr:colOff>692535</xdr:colOff>
      <xdr:row>15</xdr:row>
      <xdr:rowOff>156323</xdr:rowOff>
    </xdr:to>
    <xdr:sp macro="" textlink="">
      <xdr:nvSpPr>
        <xdr:cNvPr id="141" name="Retângulo: Cantos Arredondados 140">
          <a:extLst>
            <a:ext uri="{FF2B5EF4-FFF2-40B4-BE49-F238E27FC236}">
              <a16:creationId xmlns:a16="http://schemas.microsoft.com/office/drawing/2014/main" id="{E80DFC26-D378-4D83-9B2F-22883BE2DCDC}"/>
            </a:ext>
          </a:extLst>
        </xdr:cNvPr>
        <xdr:cNvSpPr/>
      </xdr:nvSpPr>
      <xdr:spPr>
        <a:xfrm>
          <a:off x="11615843" y="2978375"/>
          <a:ext cx="2654147" cy="814766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100"/>
        </a:p>
      </xdr:txBody>
    </xdr:sp>
    <xdr:clientData/>
  </xdr:twoCellAnchor>
  <xdr:twoCellAnchor>
    <xdr:from>
      <xdr:col>14</xdr:col>
      <xdr:colOff>192170</xdr:colOff>
      <xdr:row>12</xdr:row>
      <xdr:rowOff>203479</xdr:rowOff>
    </xdr:from>
    <xdr:to>
      <xdr:col>16</xdr:col>
      <xdr:colOff>645036</xdr:colOff>
      <xdr:row>13</xdr:row>
      <xdr:rowOff>156028</xdr:rowOff>
    </xdr:to>
    <xdr:sp macro="" textlink="Dashboard_Base!$AV$12">
      <xdr:nvSpPr>
        <xdr:cNvPr id="143" name="CaixaDeTexto 142">
          <a:extLst>
            <a:ext uri="{FF2B5EF4-FFF2-40B4-BE49-F238E27FC236}">
              <a16:creationId xmlns:a16="http://schemas.microsoft.com/office/drawing/2014/main" id="{F044A403-0D4C-4422-9B15-99AED76EC996}"/>
            </a:ext>
          </a:extLst>
        </xdr:cNvPr>
        <xdr:cNvSpPr txBox="1"/>
      </xdr:nvSpPr>
      <xdr:spPr>
        <a:xfrm>
          <a:off x="12072443" y="3112934"/>
          <a:ext cx="2150048" cy="1950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0F69A16-6034-4BCC-9E32-5EF80BB74223}" type="TxLink">
            <a:rPr lang="en-US" sz="1200" b="0" i="0" u="none" strike="noStrike">
              <a:solidFill>
                <a:srgbClr val="4B5563"/>
              </a:solidFill>
              <a:latin typeface="Segoe UI"/>
              <a:ea typeface="+mn-ea"/>
              <a:cs typeface="Segoe UI"/>
            </a:rPr>
            <a:pPr marL="0" indent="0" algn="ctr"/>
            <a:t>TOTAL FRED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412541</xdr:colOff>
      <xdr:row>13</xdr:row>
      <xdr:rowOff>117654</xdr:rowOff>
    </xdr:from>
    <xdr:to>
      <xdr:col>16</xdr:col>
      <xdr:colOff>424664</xdr:colOff>
      <xdr:row>15</xdr:row>
      <xdr:rowOff>21765</xdr:rowOff>
    </xdr:to>
    <xdr:sp macro="" textlink="Dashboard_Base!$AW$12">
      <xdr:nvSpPr>
        <xdr:cNvPr id="144" name="CaixaDeTexto 143">
          <a:extLst>
            <a:ext uri="{FF2B5EF4-FFF2-40B4-BE49-F238E27FC236}">
              <a16:creationId xmlns:a16="http://schemas.microsoft.com/office/drawing/2014/main" id="{0895B70D-D9E6-4829-A56E-69A49F59EE61}"/>
            </a:ext>
          </a:extLst>
        </xdr:cNvPr>
        <xdr:cNvSpPr txBox="1"/>
      </xdr:nvSpPr>
      <xdr:spPr>
        <a:xfrm>
          <a:off x="12292814" y="3269563"/>
          <a:ext cx="1709305" cy="3890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1BA1BC-CE1A-4ED9-8C64-812EDEE7C3B9}" type="TxLink">
            <a:rPr lang="en-US" sz="14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R$ 155.294,54</a:t>
          </a:fld>
          <a:endParaRPr lang="pt-BR" sz="14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13</xdr:col>
      <xdr:colOff>631659</xdr:colOff>
      <xdr:row>13</xdr:row>
      <xdr:rowOff>19960</xdr:rowOff>
    </xdr:from>
    <xdr:to>
      <xdr:col>14</xdr:col>
      <xdr:colOff>231879</xdr:colOff>
      <xdr:row>14</xdr:row>
      <xdr:rowOff>216679</xdr:rowOff>
    </xdr:to>
    <xdr:sp macro="" textlink="">
      <xdr:nvSpPr>
        <xdr:cNvPr id="145" name="Elipse 144">
          <a:extLst>
            <a:ext uri="{FF2B5EF4-FFF2-40B4-BE49-F238E27FC236}">
              <a16:creationId xmlns:a16="http://schemas.microsoft.com/office/drawing/2014/main" id="{79FAF111-1218-4528-B290-5B59CBDD4AA7}"/>
            </a:ext>
          </a:extLst>
        </xdr:cNvPr>
        <xdr:cNvSpPr/>
      </xdr:nvSpPr>
      <xdr:spPr>
        <a:xfrm>
          <a:off x="11663341" y="3171869"/>
          <a:ext cx="448811" cy="439174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13</xdr:col>
      <xdr:colOff>584161</xdr:colOff>
      <xdr:row>15</xdr:row>
      <xdr:rowOff>67944</xdr:rowOff>
    </xdr:from>
    <xdr:to>
      <xdr:col>16</xdr:col>
      <xdr:colOff>693718</xdr:colOff>
      <xdr:row>18</xdr:row>
      <xdr:rowOff>158898</xdr:rowOff>
    </xdr:to>
    <xdr:sp macro="" textlink="">
      <xdr:nvSpPr>
        <xdr:cNvPr id="147" name="Retângulo: Cantos Arredondados 146">
          <a:extLst>
            <a:ext uri="{FF2B5EF4-FFF2-40B4-BE49-F238E27FC236}">
              <a16:creationId xmlns:a16="http://schemas.microsoft.com/office/drawing/2014/main" id="{7C767B5A-F8B0-4983-AF8F-C8B53A2A62D4}"/>
            </a:ext>
          </a:extLst>
        </xdr:cNvPr>
        <xdr:cNvSpPr/>
      </xdr:nvSpPr>
      <xdr:spPr>
        <a:xfrm>
          <a:off x="11604586" y="3782694"/>
          <a:ext cx="2652732" cy="833904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100"/>
        </a:p>
      </xdr:txBody>
    </xdr:sp>
    <xdr:clientData/>
  </xdr:twoCellAnchor>
  <xdr:twoCellAnchor>
    <xdr:from>
      <xdr:col>14</xdr:col>
      <xdr:colOff>192824</xdr:colOff>
      <xdr:row>15</xdr:row>
      <xdr:rowOff>203090</xdr:rowOff>
    </xdr:from>
    <xdr:to>
      <xdr:col>16</xdr:col>
      <xdr:colOff>646198</xdr:colOff>
      <xdr:row>16</xdr:row>
      <xdr:rowOff>156863</xdr:rowOff>
    </xdr:to>
    <xdr:sp macro="" textlink="Dashboard_Base!$AV$13">
      <xdr:nvSpPr>
        <xdr:cNvPr id="149" name="CaixaDeTexto 148">
          <a:extLst>
            <a:ext uri="{FF2B5EF4-FFF2-40B4-BE49-F238E27FC236}">
              <a16:creationId xmlns:a16="http://schemas.microsoft.com/office/drawing/2014/main" id="{462AFE18-C547-4DEB-926F-F016C1C001C6}"/>
            </a:ext>
          </a:extLst>
        </xdr:cNvPr>
        <xdr:cNvSpPr txBox="1"/>
      </xdr:nvSpPr>
      <xdr:spPr>
        <a:xfrm>
          <a:off x="12060974" y="3917840"/>
          <a:ext cx="2148824" cy="2014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DD6E8C7-D5FD-4DBA-A887-67C548FBEAA2}" type="TxLink">
            <a:rPr lang="en-US" sz="1200" b="0" i="0" u="none" strike="noStrike">
              <a:solidFill>
                <a:srgbClr val="4B5563"/>
              </a:solidFill>
              <a:latin typeface="Segoe UI"/>
              <a:ea typeface="+mn-ea"/>
              <a:cs typeface="Segoe UI"/>
            </a:rPr>
            <a:pPr marL="0" indent="0" algn="ctr"/>
            <a:t>TOTAL LAURA</a:t>
          </a:fld>
          <a:endParaRPr lang="pt-BR" sz="9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413070</xdr:colOff>
      <xdr:row>16</xdr:row>
      <xdr:rowOff>117225</xdr:rowOff>
    </xdr:from>
    <xdr:to>
      <xdr:col>16</xdr:col>
      <xdr:colOff>425952</xdr:colOff>
      <xdr:row>18</xdr:row>
      <xdr:rowOff>23754</xdr:rowOff>
    </xdr:to>
    <xdr:sp macro="" textlink="Dashboard_Base!$AW$13">
      <xdr:nvSpPr>
        <xdr:cNvPr id="150" name="CaixaDeTexto 149">
          <a:extLst>
            <a:ext uri="{FF2B5EF4-FFF2-40B4-BE49-F238E27FC236}">
              <a16:creationId xmlns:a16="http://schemas.microsoft.com/office/drawing/2014/main" id="{9A174817-8110-43A8-8838-200366DA638D}"/>
            </a:ext>
          </a:extLst>
        </xdr:cNvPr>
        <xdr:cNvSpPr txBox="1"/>
      </xdr:nvSpPr>
      <xdr:spPr>
        <a:xfrm>
          <a:off x="12281220" y="4079625"/>
          <a:ext cx="1708332" cy="4018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7272ADD-6F29-41E9-B6BB-579640BC4ADB}" type="TxLink">
            <a:rPr lang="en-US" sz="14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R$ 118.221,10</a:t>
          </a:fld>
          <a:endParaRPr lang="pt-BR" sz="14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13</xdr:col>
      <xdr:colOff>631680</xdr:colOff>
      <xdr:row>16</xdr:row>
      <xdr:rowOff>16315</xdr:rowOff>
    </xdr:from>
    <xdr:to>
      <xdr:col>14</xdr:col>
      <xdr:colOff>232510</xdr:colOff>
      <xdr:row>17</xdr:row>
      <xdr:rowOff>222298</xdr:rowOff>
    </xdr:to>
    <xdr:sp macro="" textlink="">
      <xdr:nvSpPr>
        <xdr:cNvPr id="151" name="Elipse 150">
          <a:extLst>
            <a:ext uri="{FF2B5EF4-FFF2-40B4-BE49-F238E27FC236}">
              <a16:creationId xmlns:a16="http://schemas.microsoft.com/office/drawing/2014/main" id="{FBC8885C-FE61-474A-96EB-F6C16B3251FA}"/>
            </a:ext>
          </a:extLst>
        </xdr:cNvPr>
        <xdr:cNvSpPr/>
      </xdr:nvSpPr>
      <xdr:spPr>
        <a:xfrm>
          <a:off x="11652105" y="3978715"/>
          <a:ext cx="448555" cy="453633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L</a:t>
          </a:r>
        </a:p>
      </xdr:txBody>
    </xdr:sp>
    <xdr:clientData/>
  </xdr:twoCellAnchor>
  <xdr:twoCellAnchor>
    <xdr:from>
      <xdr:col>13</xdr:col>
      <xdr:colOff>584161</xdr:colOff>
      <xdr:row>19</xdr:row>
      <xdr:rowOff>194057</xdr:rowOff>
    </xdr:from>
    <xdr:to>
      <xdr:col>16</xdr:col>
      <xdr:colOff>693718</xdr:colOff>
      <xdr:row>23</xdr:row>
      <xdr:rowOff>38481</xdr:rowOff>
    </xdr:to>
    <xdr:sp macro="" textlink="">
      <xdr:nvSpPr>
        <xdr:cNvPr id="153" name="Retângulo: Cantos Arredondados 152">
          <a:extLst>
            <a:ext uri="{FF2B5EF4-FFF2-40B4-BE49-F238E27FC236}">
              <a16:creationId xmlns:a16="http://schemas.microsoft.com/office/drawing/2014/main" id="{190F0A61-580B-4232-9590-14787A687802}"/>
            </a:ext>
          </a:extLst>
        </xdr:cNvPr>
        <xdr:cNvSpPr/>
      </xdr:nvSpPr>
      <xdr:spPr>
        <a:xfrm>
          <a:off x="11566900" y="4915144"/>
          <a:ext cx="2644035" cy="838337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100"/>
        </a:p>
      </xdr:txBody>
    </xdr:sp>
    <xdr:clientData/>
  </xdr:twoCellAnchor>
  <xdr:twoCellAnchor>
    <xdr:from>
      <xdr:col>14</xdr:col>
      <xdr:colOff>192824</xdr:colOff>
      <xdr:row>20</xdr:row>
      <xdr:rowOff>88244</xdr:rowOff>
    </xdr:from>
    <xdr:to>
      <xdr:col>16</xdr:col>
      <xdr:colOff>646198</xdr:colOff>
      <xdr:row>21</xdr:row>
      <xdr:rowOff>42018</xdr:rowOff>
    </xdr:to>
    <xdr:sp macro="" textlink="Dashboard_Base!$AV$14">
      <xdr:nvSpPr>
        <xdr:cNvPr id="155" name="CaixaDeTexto 154">
          <a:extLst>
            <a:ext uri="{FF2B5EF4-FFF2-40B4-BE49-F238E27FC236}">
              <a16:creationId xmlns:a16="http://schemas.microsoft.com/office/drawing/2014/main" id="{9C9412CD-837E-4F27-8CBC-EEB237B96098}"/>
            </a:ext>
          </a:extLst>
        </xdr:cNvPr>
        <xdr:cNvSpPr txBox="1"/>
      </xdr:nvSpPr>
      <xdr:spPr>
        <a:xfrm>
          <a:off x="12020389" y="5057809"/>
          <a:ext cx="2143026" cy="2022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1E98360-4693-4A86-86D8-7EB29ACC1170}" type="TxLink">
            <a:rPr lang="en-US" sz="1400" b="1" i="0" u="none" strike="noStrike">
              <a:solidFill>
                <a:srgbClr val="4B5563"/>
              </a:solidFill>
              <a:latin typeface="Segoe UI"/>
              <a:ea typeface="+mn-ea"/>
              <a:cs typeface="Segoe UI"/>
            </a:rPr>
            <a:pPr marL="0" indent="0" algn="ctr"/>
            <a:t>TOTAL CASAL</a:t>
          </a:fld>
          <a:endParaRPr lang="pt-BR" sz="1400" b="1" i="0" u="none" strike="noStrike">
            <a:solidFill>
              <a:srgbClr val="4B5563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413070</xdr:colOff>
      <xdr:row>21</xdr:row>
      <xdr:rowOff>2380</xdr:rowOff>
    </xdr:from>
    <xdr:to>
      <xdr:col>16</xdr:col>
      <xdr:colOff>425952</xdr:colOff>
      <xdr:row>22</xdr:row>
      <xdr:rowOff>155436</xdr:rowOff>
    </xdr:to>
    <xdr:sp macro="" textlink="Dashboard_Base!$AW$14">
      <xdr:nvSpPr>
        <xdr:cNvPr id="156" name="CaixaDeTexto 155">
          <a:extLst>
            <a:ext uri="{FF2B5EF4-FFF2-40B4-BE49-F238E27FC236}">
              <a16:creationId xmlns:a16="http://schemas.microsoft.com/office/drawing/2014/main" id="{509A9333-4F20-49DE-8434-CB53D76F9D13}"/>
            </a:ext>
          </a:extLst>
        </xdr:cNvPr>
        <xdr:cNvSpPr txBox="1"/>
      </xdr:nvSpPr>
      <xdr:spPr>
        <a:xfrm>
          <a:off x="12240635" y="5220423"/>
          <a:ext cx="1702534" cy="401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4795300-E725-4F82-BDA6-F61DD991725C}" type="TxLink">
            <a:rPr lang="en-US" sz="14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R$ 273.515,64</a:t>
          </a:fld>
          <a:endParaRPr lang="pt-BR" sz="14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13</xdr:col>
      <xdr:colOff>631680</xdr:colOff>
      <xdr:row>20</xdr:row>
      <xdr:rowOff>147999</xdr:rowOff>
    </xdr:from>
    <xdr:to>
      <xdr:col>14</xdr:col>
      <xdr:colOff>232510</xdr:colOff>
      <xdr:row>22</xdr:row>
      <xdr:rowOff>107450</xdr:rowOff>
    </xdr:to>
    <xdr:sp macro="" textlink="">
      <xdr:nvSpPr>
        <xdr:cNvPr id="157" name="Elipse 156">
          <a:extLst>
            <a:ext uri="{FF2B5EF4-FFF2-40B4-BE49-F238E27FC236}">
              <a16:creationId xmlns:a16="http://schemas.microsoft.com/office/drawing/2014/main" id="{3249C267-2E34-4FA4-8903-8A9BED2C501F}"/>
            </a:ext>
          </a:extLst>
        </xdr:cNvPr>
        <xdr:cNvSpPr/>
      </xdr:nvSpPr>
      <xdr:spPr>
        <a:xfrm>
          <a:off x="11614419" y="5117564"/>
          <a:ext cx="445656" cy="456408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13</xdr:col>
      <xdr:colOff>584161</xdr:colOff>
      <xdr:row>22</xdr:row>
      <xdr:rowOff>202201</xdr:rowOff>
    </xdr:from>
    <xdr:to>
      <xdr:col>16</xdr:col>
      <xdr:colOff>693718</xdr:colOff>
      <xdr:row>26</xdr:row>
      <xdr:rowOff>43076</xdr:rowOff>
    </xdr:to>
    <xdr:sp macro="" textlink="">
      <xdr:nvSpPr>
        <xdr:cNvPr id="159" name="Retângulo: Cantos Arredondados 158">
          <a:extLst>
            <a:ext uri="{FF2B5EF4-FFF2-40B4-BE49-F238E27FC236}">
              <a16:creationId xmlns:a16="http://schemas.microsoft.com/office/drawing/2014/main" id="{07C02417-DF03-40F5-8D3B-9307D33DE320}"/>
            </a:ext>
          </a:extLst>
        </xdr:cNvPr>
        <xdr:cNvSpPr/>
      </xdr:nvSpPr>
      <xdr:spPr>
        <a:xfrm>
          <a:off x="11566900" y="5668723"/>
          <a:ext cx="2644035" cy="834788"/>
        </a:xfrm>
        <a:prstGeom prst="roundRect">
          <a:avLst>
            <a:gd name="adj" fmla="val 15014"/>
          </a:avLst>
        </a:prstGeom>
        <a:solidFill>
          <a:srgbClr val="121A2B"/>
        </a:solidFill>
        <a:ln>
          <a:solidFill>
            <a:srgbClr val="33415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endParaRPr lang="pt-BR" sz="1100"/>
        </a:p>
      </xdr:txBody>
    </xdr:sp>
    <xdr:clientData/>
  </xdr:twoCellAnchor>
  <xdr:twoCellAnchor>
    <xdr:from>
      <xdr:col>14</xdr:col>
      <xdr:colOff>192824</xdr:colOff>
      <xdr:row>23</xdr:row>
      <xdr:rowOff>90232</xdr:rowOff>
    </xdr:from>
    <xdr:to>
      <xdr:col>16</xdr:col>
      <xdr:colOff>646198</xdr:colOff>
      <xdr:row>24</xdr:row>
      <xdr:rowOff>43155</xdr:rowOff>
    </xdr:to>
    <xdr:sp macro="" textlink="Dashboard_Base!$AV$15">
      <xdr:nvSpPr>
        <xdr:cNvPr id="161" name="CaixaDeTexto 160">
          <a:extLst>
            <a:ext uri="{FF2B5EF4-FFF2-40B4-BE49-F238E27FC236}">
              <a16:creationId xmlns:a16="http://schemas.microsoft.com/office/drawing/2014/main" id="{553803CF-72F8-462A-AB9C-B66CB1F67DBD}"/>
            </a:ext>
          </a:extLst>
        </xdr:cNvPr>
        <xdr:cNvSpPr txBox="1"/>
      </xdr:nvSpPr>
      <xdr:spPr>
        <a:xfrm>
          <a:off x="12020389" y="5805232"/>
          <a:ext cx="2143026" cy="2014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39740C6-0549-45E4-8DD9-1DD375CFCAF6}" type="TxLink">
            <a:rPr lang="en-US" sz="1200" b="0" i="0" u="none" strike="noStrike">
              <a:solidFill>
                <a:srgbClr val="4B5563"/>
              </a:solidFill>
              <a:latin typeface="Segoe UI"/>
              <a:ea typeface="+mn-ea"/>
              <a:cs typeface="Segoe UI"/>
            </a:rPr>
            <a:pPr marL="0" indent="0" algn="ctr"/>
            <a:t>SALDO</a:t>
          </a:fld>
          <a:endParaRPr lang="pt-BR" sz="1200" b="0" i="0" u="none" strike="noStrike">
            <a:solidFill>
              <a:srgbClr val="4B5563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413070</xdr:colOff>
      <xdr:row>24</xdr:row>
      <xdr:rowOff>3684</xdr:rowOff>
    </xdr:from>
    <xdr:to>
      <xdr:col>16</xdr:col>
      <xdr:colOff>425952</xdr:colOff>
      <xdr:row>25</xdr:row>
      <xdr:rowOff>155045</xdr:rowOff>
    </xdr:to>
    <xdr:sp macro="" textlink="Dashboard_Base!$AW$15">
      <xdr:nvSpPr>
        <xdr:cNvPr id="162" name="CaixaDeTexto 161">
          <a:extLst>
            <a:ext uri="{FF2B5EF4-FFF2-40B4-BE49-F238E27FC236}">
              <a16:creationId xmlns:a16="http://schemas.microsoft.com/office/drawing/2014/main" id="{85BB1473-B35E-42B5-8395-75724C040AA1}"/>
            </a:ext>
          </a:extLst>
        </xdr:cNvPr>
        <xdr:cNvSpPr txBox="1"/>
      </xdr:nvSpPr>
      <xdr:spPr>
        <a:xfrm>
          <a:off x="12240635" y="5967162"/>
          <a:ext cx="1702534" cy="399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89B1A82-A740-4DF4-9A7F-4ADBFC67781F}" type="TxLink">
            <a:rPr lang="en-US" sz="14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R$ 183.064,36</a:t>
          </a:fld>
          <a:endParaRPr lang="pt-BR" sz="14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13</xdr:col>
      <xdr:colOff>631680</xdr:colOff>
      <xdr:row>23</xdr:row>
      <xdr:rowOff>149729</xdr:rowOff>
    </xdr:from>
    <xdr:to>
      <xdr:col>14</xdr:col>
      <xdr:colOff>232510</xdr:colOff>
      <xdr:row>25</xdr:row>
      <xdr:rowOff>107266</xdr:rowOff>
    </xdr:to>
    <xdr:sp macro="" textlink="">
      <xdr:nvSpPr>
        <xdr:cNvPr id="163" name="Elipse 162">
          <a:extLst>
            <a:ext uri="{FF2B5EF4-FFF2-40B4-BE49-F238E27FC236}">
              <a16:creationId xmlns:a16="http://schemas.microsoft.com/office/drawing/2014/main" id="{25504A05-EBAB-4A18-B9B1-2BC367993E53}"/>
            </a:ext>
          </a:extLst>
        </xdr:cNvPr>
        <xdr:cNvSpPr/>
      </xdr:nvSpPr>
      <xdr:spPr>
        <a:xfrm>
          <a:off x="11614419" y="5864729"/>
          <a:ext cx="445656" cy="454494"/>
        </a:xfrm>
        <a:prstGeom prst="ellipse">
          <a:avLst/>
        </a:prstGeom>
        <a:solidFill>
          <a:srgbClr val="11322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rgbClr val="86EFAC"/>
              </a:solidFill>
              <a:latin typeface="Segoe UI" panose="020B0502040204020203" pitchFamily="34" charset="0"/>
              <a:cs typeface="Segoe UI" panose="020B0502040204020203" pitchFamily="34" charset="0"/>
            </a:rPr>
            <a:t>$</a:t>
          </a:r>
        </a:p>
      </xdr:txBody>
    </xdr:sp>
    <xdr:clientData/>
  </xdr:twoCellAnchor>
  <xdr:twoCellAnchor>
    <xdr:from>
      <xdr:col>13</xdr:col>
      <xdr:colOff>289890</xdr:colOff>
      <xdr:row>7</xdr:row>
      <xdr:rowOff>222211</xdr:rowOff>
    </xdr:from>
    <xdr:to>
      <xdr:col>17</xdr:col>
      <xdr:colOff>182217</xdr:colOff>
      <xdr:row>8</xdr:row>
      <xdr:rowOff>173960</xdr:rowOff>
    </xdr:to>
    <xdr:sp macro="" textlink="Dashboard_Base!$AV$3">
      <xdr:nvSpPr>
        <xdr:cNvPr id="74" name="CaixaDeTexto 73">
          <a:extLst>
            <a:ext uri="{FF2B5EF4-FFF2-40B4-BE49-F238E27FC236}">
              <a16:creationId xmlns:a16="http://schemas.microsoft.com/office/drawing/2014/main" id="{975FDC30-01F1-4B05-A4CC-28BEDC75A194}"/>
            </a:ext>
          </a:extLst>
        </xdr:cNvPr>
        <xdr:cNvSpPr txBox="1"/>
      </xdr:nvSpPr>
      <xdr:spPr>
        <a:xfrm>
          <a:off x="11272629" y="1961559"/>
          <a:ext cx="3271631" cy="2002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8C280D6-BFEA-4530-9A7A-B347C6A66380}" type="TxLink">
            <a:rPr lang="en-US" sz="1200" b="1" i="0" u="none" strike="noStrike">
              <a:solidFill>
                <a:srgbClr val="9CA3AF"/>
              </a:solidFill>
              <a:latin typeface="Segoe UI"/>
              <a:ea typeface="+mn-ea"/>
              <a:cs typeface="Segoe UI"/>
            </a:rPr>
            <a:pPr marL="0" indent="0" algn="ctr"/>
            <a:t>CONSOLIDADO AUXILIAR</a:t>
          </a:fld>
          <a:endParaRPr lang="en-US" sz="1200" b="1" i="0" u="none" strike="noStrike">
            <a:solidFill>
              <a:srgbClr val="9CA3AF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14</xdr:col>
      <xdr:colOff>475693</xdr:colOff>
      <xdr:row>19</xdr:row>
      <xdr:rowOff>42808</xdr:rowOff>
    </xdr:from>
    <xdr:to>
      <xdr:col>16</xdr:col>
      <xdr:colOff>46041</xdr:colOff>
      <xdr:row>19</xdr:row>
      <xdr:rowOff>60808</xdr:rowOff>
    </xdr:to>
    <xdr:sp macro="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3CB72663-7541-4AC7-BB53-C3E17806C25C}"/>
            </a:ext>
          </a:extLst>
        </xdr:cNvPr>
        <xdr:cNvSpPr/>
      </xdr:nvSpPr>
      <xdr:spPr>
        <a:xfrm>
          <a:off x="12303258" y="4763895"/>
          <a:ext cx="1260000" cy="18000"/>
        </a:xfrm>
        <a:prstGeom prst="roundRect">
          <a:avLst/>
        </a:prstGeom>
        <a:solidFill>
          <a:srgbClr val="33415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813829</xdr:colOff>
      <xdr:row>8</xdr:row>
      <xdr:rowOff>34286</xdr:rowOff>
    </xdr:from>
    <xdr:to>
      <xdr:col>4</xdr:col>
      <xdr:colOff>777614</xdr:colOff>
      <xdr:row>9</xdr:row>
      <xdr:rowOff>185122</xdr:rowOff>
    </xdr:to>
    <xdr:sp macro="" textlink="Dashboard_Base!$AW$7">
      <xdr:nvSpPr>
        <xdr:cNvPr id="91" name="CaixaDeTexto 90">
          <a:extLst>
            <a:ext uri="{FF2B5EF4-FFF2-40B4-BE49-F238E27FC236}">
              <a16:creationId xmlns:a16="http://schemas.microsoft.com/office/drawing/2014/main" id="{387FB0BD-8CCC-424A-87A0-711D335E7E4D}"/>
            </a:ext>
          </a:extLst>
        </xdr:cNvPr>
        <xdr:cNvSpPr txBox="1"/>
      </xdr:nvSpPr>
      <xdr:spPr>
        <a:xfrm>
          <a:off x="813829" y="2027209"/>
          <a:ext cx="3363477" cy="399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DC13F74-2AB8-462C-B084-5E6849F903AE}" type="TxLink">
            <a:rPr lang="en-US" sz="18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R$ 91.877,20</a:t>
          </a:fld>
          <a:endParaRPr lang="pt-BR" sz="18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5</xdr:col>
      <xdr:colOff>53982</xdr:colOff>
      <xdr:row>8</xdr:row>
      <xdr:rowOff>40965</xdr:rowOff>
    </xdr:from>
    <xdr:to>
      <xdr:col>9</xdr:col>
      <xdr:colOff>17766</xdr:colOff>
      <xdr:row>9</xdr:row>
      <xdr:rowOff>191801</xdr:rowOff>
    </xdr:to>
    <xdr:sp macro="" textlink="Dashboard_Base!$AW$6">
      <xdr:nvSpPr>
        <xdr:cNvPr id="92" name="CaixaDeTexto 91">
          <a:extLst>
            <a:ext uri="{FF2B5EF4-FFF2-40B4-BE49-F238E27FC236}">
              <a16:creationId xmlns:a16="http://schemas.microsoft.com/office/drawing/2014/main" id="{6BD71FED-A154-491E-8DDB-5BF635F95332}"/>
            </a:ext>
          </a:extLst>
        </xdr:cNvPr>
        <xdr:cNvSpPr txBox="1"/>
      </xdr:nvSpPr>
      <xdr:spPr>
        <a:xfrm>
          <a:off x="4303597" y="2033888"/>
          <a:ext cx="3363477" cy="399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E940301-29B7-4E3B-9FD7-ED435D487653}" type="TxLink">
            <a:rPr lang="en-US" sz="18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R$ 63.070,20</a:t>
          </a:fld>
          <a:endParaRPr lang="pt-BR" sz="18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142724</xdr:colOff>
      <xdr:row>8</xdr:row>
      <xdr:rowOff>48881</xdr:rowOff>
    </xdr:from>
    <xdr:to>
      <xdr:col>13</xdr:col>
      <xdr:colOff>106509</xdr:colOff>
      <xdr:row>9</xdr:row>
      <xdr:rowOff>199717</xdr:rowOff>
    </xdr:to>
    <xdr:sp macro="" textlink="Dashboard_Base!$AW$5">
      <xdr:nvSpPr>
        <xdr:cNvPr id="93" name="CaixaDeTexto 92">
          <a:extLst>
            <a:ext uri="{FF2B5EF4-FFF2-40B4-BE49-F238E27FC236}">
              <a16:creationId xmlns:a16="http://schemas.microsoft.com/office/drawing/2014/main" id="{442FCFDC-875C-4F14-BD3F-32ABA73197A0}"/>
            </a:ext>
          </a:extLst>
        </xdr:cNvPr>
        <xdr:cNvSpPr txBox="1"/>
      </xdr:nvSpPr>
      <xdr:spPr>
        <a:xfrm>
          <a:off x="7792032" y="2041804"/>
          <a:ext cx="3363477" cy="399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59E1667-8B4D-4FB3-8A1B-572B806927EF}" type="TxLink">
            <a:rPr lang="en-US" sz="1800" b="1" i="0" u="none" strike="noStrike">
              <a:solidFill>
                <a:srgbClr val="F3F4F6"/>
              </a:solidFill>
              <a:latin typeface="Segoe UI"/>
              <a:ea typeface="+mn-ea"/>
              <a:cs typeface="Segoe UI"/>
            </a:rPr>
            <a:pPr marL="0" indent="0" algn="ctr"/>
            <a:t>R$ 126.140,40</a:t>
          </a:fld>
          <a:endParaRPr lang="pt-BR" sz="1800" b="1" i="0" u="none" strike="noStrike">
            <a:solidFill>
              <a:srgbClr val="F3F4F6"/>
            </a:solidFill>
            <a:latin typeface="Segoe UI"/>
            <a:ea typeface="+mn-ea"/>
            <a:cs typeface="Segoe UI"/>
          </a:endParaRPr>
        </a:p>
      </xdr:txBody>
    </xdr:sp>
    <xdr:clientData/>
  </xdr:twoCellAnchor>
  <xdr:twoCellAnchor>
    <xdr:from>
      <xdr:col>9</xdr:col>
      <xdr:colOff>257735</xdr:colOff>
      <xdr:row>15</xdr:row>
      <xdr:rowOff>56031</xdr:rowOff>
    </xdr:from>
    <xdr:to>
      <xdr:col>13</xdr:col>
      <xdr:colOff>33617</xdr:colOff>
      <xdr:row>27</xdr:row>
      <xdr:rowOff>235324</xdr:rowOff>
    </xdr:to>
    <xdr:graphicFrame macro="">
      <xdr:nvGraphicFramePr>
        <xdr:cNvPr id="79" name="CONTAS X CARTÃO POR PERÍODO">
          <a:extLst>
            <a:ext uri="{FF2B5EF4-FFF2-40B4-BE49-F238E27FC236}">
              <a16:creationId xmlns:a16="http://schemas.microsoft.com/office/drawing/2014/main" id="{625F5235-7754-4B82-BBE1-BBD3F2894A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285751</xdr:colOff>
      <xdr:row>29</xdr:row>
      <xdr:rowOff>11206</xdr:rowOff>
    </xdr:from>
    <xdr:to>
      <xdr:col>17</xdr:col>
      <xdr:colOff>28575</xdr:colOff>
      <xdr:row>42</xdr:row>
      <xdr:rowOff>33618</xdr:rowOff>
    </xdr:to>
    <xdr:graphicFrame macro="">
      <xdr:nvGraphicFramePr>
        <xdr:cNvPr id="95" name="Gráfico 94">
          <a:extLst>
            <a:ext uri="{FF2B5EF4-FFF2-40B4-BE49-F238E27FC236}">
              <a16:creationId xmlns:a16="http://schemas.microsoft.com/office/drawing/2014/main" id="{741ED429-F475-4717-9E3B-25668C036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table" Target="../tables/table6.bin"/><Relationship Id="rId1" Type="http://schemas.microsoft.com/office/2006/relationships/xlBinaryIndex" Target="binaryIndex8.bin"/><Relationship Id="rId6" Type="http://schemas.openxmlformats.org/officeDocument/2006/relationships/table" Target="../tables/table10.bin"/><Relationship Id="rId5" Type="http://schemas.openxmlformats.org/officeDocument/2006/relationships/table" Target="../tables/table9.bin"/><Relationship Id="rId4" Type="http://schemas.openxmlformats.org/officeDocument/2006/relationships/table" Target="../tables/table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D3C7C5-568B-476E-8401-45F78CD2037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13</vt:i4>
      </vt:variant>
    </vt:vector>
  </HeadingPairs>
  <TitlesOfParts>
    <vt:vector size="24" baseType="lpstr">
      <vt:lpstr>Dashboard</vt:lpstr>
      <vt:lpstr>Contas</vt:lpstr>
      <vt:lpstr>Estabelecimentos</vt:lpstr>
      <vt:lpstr>Estab. Pendentes</vt:lpstr>
      <vt:lpstr>Recorrencias Pendentes</vt:lpstr>
      <vt:lpstr>Auditoria e Fechamento</vt:lpstr>
      <vt:lpstr>Dashboard_Base</vt:lpstr>
      <vt:lpstr>Configurações</vt:lpstr>
      <vt:lpstr>Movimentações</vt:lpstr>
      <vt:lpstr>Movimentações Cartões</vt:lpstr>
      <vt:lpstr>Categorias</vt:lpstr>
      <vt:lpstr>Alimentação</vt:lpstr>
      <vt:lpstr>Assinaturas</vt:lpstr>
      <vt:lpstr>Educação</vt:lpstr>
      <vt:lpstr>Impostos</vt:lpstr>
      <vt:lpstr>Internet</vt:lpstr>
      <vt:lpstr>Lazer</vt:lpstr>
      <vt:lpstr>Moradia</vt:lpstr>
      <vt:lpstr>Outros</vt:lpstr>
      <vt:lpstr>Receita</vt:lpstr>
      <vt:lpstr>Saúde</vt:lpstr>
      <vt:lpstr>Seguros</vt:lpstr>
      <vt:lpstr>Transporte</vt:lpstr>
      <vt:lpstr>Vestuário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Frederico Augusto de Paula Amorin</dc:creator>
  <cp:lastModifiedBy>Fred e Laura Fred e Lauroca</cp:lastModifiedBy>
  <dcterms:created xsi:type="dcterms:W3CDTF">2015-06-05T18:19:34Z</dcterms:created>
  <dcterms:modified xsi:type="dcterms:W3CDTF">2026-07-09T00:54:46Z</dcterms:modified>
</cp:coreProperties>
</file>